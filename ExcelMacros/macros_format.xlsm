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027147\PycharmProjects\IngestionReport\ExcelMacros\"/>
    </mc:Choice>
  </mc:AlternateContent>
  <xr:revisionPtr revIDLastSave="0" documentId="13_ncr:1_{40657693-1C7A-4CD9-AD41-F59B030AEBDF}" xr6:coauthVersionLast="46" xr6:coauthVersionMax="46" xr10:uidLastSave="{00000000-0000-0000-0000-000000000000}"/>
  <bookViews>
    <workbookView xWindow="-110" yWindow="-110" windowWidth="19420" windowHeight="10560" tabRatio="445" xr2:uid="{00000000-000D-0000-FFFF-FFFF00000000}"/>
  </bookViews>
  <sheets>
    <sheet name="Report" sheetId="13" r:id="rId1"/>
    <sheet name="DetailReport" sheetId="7" r:id="rId2"/>
    <sheet name="SummaryReport" sheetId="9" r:id="rId3"/>
    <sheet name="OrderMetrics" sheetId="14" r:id="rId4"/>
    <sheet name="TransportationMetrics" sheetId="15" r:id="rId5"/>
  </sheets>
  <externalReferences>
    <externalReference r:id="rId6"/>
  </externalReferences>
  <definedNames>
    <definedName name="_xlnm._FilterDatabase" localSheetId="1" hidden="1">DetailReport!$A$1:$S$1</definedName>
    <definedName name="_xlnm._FilterDatabase" localSheetId="3" hidden="1">OrderMetrics!$A$1:$AH$17</definedName>
    <definedName name="_xlnm._FilterDatabase" localSheetId="2" hidden="1">SummaryReport!$A$1:$N$1</definedName>
    <definedName name="_xlnm._FilterDatabase" localSheetId="4" hidden="1">TransportationMetrics!$A$1:$AH$8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13" l="1"/>
  <c r="I18" i="13"/>
  <c r="I19" i="13"/>
  <c r="I16" i="13"/>
  <c r="D17" i="13"/>
  <c r="D18" i="13"/>
  <c r="D19" i="13"/>
  <c r="D16" i="13"/>
  <c r="H11" i="13"/>
  <c r="H12" i="13"/>
  <c r="H13" i="13"/>
  <c r="H10" i="13"/>
  <c r="G13" i="13"/>
  <c r="G12" i="13"/>
  <c r="G11" i="13"/>
  <c r="G10" i="13"/>
  <c r="E13" i="13"/>
  <c r="E12" i="13"/>
  <c r="E11" i="13"/>
  <c r="E10" i="13"/>
  <c r="D13" i="13"/>
  <c r="D12" i="13"/>
  <c r="D11" i="13"/>
  <c r="D10" i="13"/>
  <c r="B10" i="13"/>
  <c r="B11" i="13"/>
  <c r="B12" i="13"/>
  <c r="B13" i="13"/>
  <c r="B24" i="13"/>
  <c r="C4" i="13"/>
  <c r="C5" i="13"/>
  <c r="C24" i="13" s="1"/>
  <c r="J13" i="13" l="1"/>
  <c r="I10" i="13" s="1"/>
  <c r="I13" i="13" l="1"/>
  <c r="I12" i="13"/>
  <c r="I11" i="13"/>
</calcChain>
</file>

<file path=xl/sharedStrings.xml><?xml version="1.0" encoding="utf-8"?>
<sst xmlns="http://schemas.openxmlformats.org/spreadsheetml/2006/main" count="706" uniqueCount="385">
  <si>
    <t>transportInstruction</t>
  </si>
  <si>
    <t>Processed</t>
  </si>
  <si>
    <t>COMPLETED</t>
  </si>
  <si>
    <t>purchaseOrder</t>
  </si>
  <si>
    <t>transportChain</t>
  </si>
  <si>
    <t>INGESTION ID</t>
  </si>
  <si>
    <t>TYPE OF MESSAGE</t>
  </si>
  <si>
    <t>CRNT STATUS</t>
  </si>
  <si>
    <t>INGESTION SERVICE MESSAGE STARTED</t>
  </si>
  <si>
    <t>INGESTION SERVICE MESSAGE FINISHED</t>
  </si>
  <si>
    <t>MESSAGE BROKER STARTED</t>
  </si>
  <si>
    <t>MESSAGE BROKER FINISHED</t>
  </si>
  <si>
    <t>LCT ADAPTER STARTED</t>
  </si>
  <si>
    <t>LCT ADAPTER FINISHED</t>
  </si>
  <si>
    <t>MSG STATUS</t>
  </si>
  <si>
    <t>COMPUTATION STARTED</t>
  </si>
  <si>
    <t>COMPUTATION FINISHED</t>
  </si>
  <si>
    <t>COMPUTATION STATUS</t>
  </si>
  <si>
    <t>customerOrder</t>
  </si>
  <si>
    <t>AVERAGE TIME (sec)</t>
  </si>
  <si>
    <t>TOTAL OF MESSAGE</t>
  </si>
  <si>
    <t>TOTAL OBJECT COUNT</t>
  </si>
  <si>
    <t>INGESTION START</t>
  </si>
  <si>
    <t>SERVICE</t>
  </si>
  <si>
    <t>LCT</t>
  </si>
  <si>
    <t>INGESTION STATUS</t>
  </si>
  <si>
    <t xml:space="preserve">INGESTION FINISH </t>
  </si>
  <si>
    <t>TOTAL OF MESSAGES</t>
  </si>
  <si>
    <t>SERVICE NAME</t>
  </si>
  <si>
    <t>TOTAL ELAPSED TIME</t>
  </si>
  <si>
    <t xml:space="preserve">STATUS </t>
  </si>
  <si>
    <t>Ingestion Service</t>
  </si>
  <si>
    <t>Message Broker</t>
  </si>
  <si>
    <t>LCT Adapter</t>
  </si>
  <si>
    <t>Computation</t>
  </si>
  <si>
    <t>MESSAGE TYPE</t>
  </si>
  <si>
    <t>TOTAL COUNT OBJECT</t>
  </si>
  <si>
    <t>COMPUTATION TOTAL TIME</t>
  </si>
  <si>
    <t>5f5591f0591544189248e30466193e71-dctdeliveries-20211016013805782-n3XTB</t>
  </si>
  <si>
    <t>5f5591f0591544189248e30466193e71-dctdeliveries-20211016013745661-eOKvO</t>
  </si>
  <si>
    <t>5f5591f0591544189248e30466193e71-dctshipments-20211016013721146-XGNO7</t>
  </si>
  <si>
    <t>5f5591f0591544189248e30466193e71-dctsalesorders-20211016013821454-S6vQd</t>
  </si>
  <si>
    <t>5f5591f0591544189248e30466193e71-dctsalesorders-20211016013750118-fTtBi</t>
  </si>
  <si>
    <t>5f5591f0591544189248e30466193e71-dctsalesorders-20211016013825132-jrCdt</t>
  </si>
  <si>
    <t>5f5591f0591544189248e30466193e71-dctsalesorders-20211016013748416-6PBfY</t>
  </si>
  <si>
    <t>5f5591f0591544189248e30466193e71-dctsalesorders-20211016013840767-2lhWe</t>
  </si>
  <si>
    <t>5f5591f0591544189248e30466193e71-dctsalesorders-20211016013811836-UMlaf</t>
  </si>
  <si>
    <t>5f5591f0591544189248e30466193e71-dctsalesorders-20211016013758371-Q8mVL</t>
  </si>
  <si>
    <t>5f5591f0591544189248e30466193e71-dctsalesorders-20211016013832965-r6zf3</t>
  </si>
  <si>
    <t>5f5591f0591544189248e30466193e71-dctdeliveries-20211016013841138-1DPlR</t>
  </si>
  <si>
    <t>5f5591f0591544189248e30466193e71-dctshipments-20211016013813226-qEKPS</t>
  </si>
  <si>
    <t>5f5591f0591544189248e30466193e71-dctpurchaseorders-20211016013835102-cpTH7</t>
  </si>
  <si>
    <t>TOTAL TIME INGESTION(sec)</t>
  </si>
  <si>
    <t>LCTADAPTERFINISHED</t>
  </si>
  <si>
    <t>MSGSTATUS</t>
  </si>
  <si>
    <t>COMPUTATIONSTARTED</t>
  </si>
  <si>
    <t>TOTAL TIME EXECUTION (sec)</t>
  </si>
  <si>
    <t>TOTAL ELAPSED TIME (sec)</t>
  </si>
  <si>
    <t>INGESTION REPORT</t>
  </si>
  <si>
    <t>%</t>
  </si>
  <si>
    <t>SUM TOTAL ELAPSED TIME (sec)</t>
  </si>
  <si>
    <t>MESSAGE STATUS</t>
  </si>
  <si>
    <t>OBJECT/TIME</t>
  </si>
  <si>
    <t>averageCpuTimeMs</t>
  </si>
  <si>
    <t>performanceStatus</t>
  </si>
  <si>
    <t>totalInvocationCount</t>
  </si>
  <si>
    <t>currentInvocationCount</t>
  </si>
  <si>
    <t>invocationPerObjectRatio</t>
  </si>
  <si>
    <t>totalSourcingObjectCount</t>
  </si>
  <si>
    <t>totalProcessedObjectCount</t>
  </si>
  <si>
    <t>"CRITICAL"</t>
  </si>
  <si>
    <t>1</t>
  </si>
  <si>
    <t>"NORMAL"</t>
  </si>
  <si>
    <t>7</t>
  </si>
  <si>
    <t>0</t>
  </si>
  <si>
    <t>"WARNING"</t>
  </si>
  <si>
    <t>2</t>
  </si>
  <si>
    <t>5</t>
  </si>
  <si>
    <t>22</t>
  </si>
  <si>
    <t>100</t>
  </si>
  <si>
    <t>99</t>
  </si>
  <si>
    <t>98</t>
  </si>
  <si>
    <t>92</t>
  </si>
  <si>
    <t>14</t>
  </si>
  <si>
    <t>32</t>
  </si>
  <si>
    <t>ORDER totalCpuTimeMs</t>
  </si>
  <si>
    <t>ORDER averageCpuTimeMs</t>
  </si>
  <si>
    <t>ORDER performanceStatus</t>
  </si>
  <si>
    <t>ORDER totalInvocationCount</t>
  </si>
  <si>
    <t>ORDER currentInvocationCount</t>
  </si>
  <si>
    <t>ORDER invocationPerObjectRatio</t>
  </si>
  <si>
    <t>ORDER totalSourcingObjectCount</t>
  </si>
  <si>
    <t>ORDER totalProcessedObjectCount</t>
  </si>
  <si>
    <t>computation backend currentInvocationCount</t>
  </si>
  <si>
    <t>computation backend totalCpuTimeMs</t>
  </si>
  <si>
    <t>computation backend averageCpuTimeMs</t>
  </si>
  <si>
    <t>computation backend performanceStatus</t>
  </si>
  <si>
    <t>computation backend totalInvocationCount</t>
  </si>
  <si>
    <t>computation backend invocationPerObjectRatio</t>
  </si>
  <si>
    <t>computation backend totalSourcingObjectCount</t>
  </si>
  <si>
    <t>computation backend totalProcessedObjectCount</t>
  </si>
  <si>
    <t>computation frontend totalCpuTimeMs</t>
  </si>
  <si>
    <t>computation frontend averageCpuTimeMs</t>
  </si>
  <si>
    <t>computation frontend performanceStatus</t>
  </si>
  <si>
    <t>computation frontend totalInvocationCount</t>
  </si>
  <si>
    <t>computation frontend currentInvocationCount</t>
  </si>
  <si>
    <t>computation frontend invocationPerObjectRatio</t>
  </si>
  <si>
    <t>computation frontend totalSourcingObjectCount</t>
  </si>
  <si>
    <t>computation frontend totalProcessedObjectCount</t>
  </si>
  <si>
    <t>TYP OF MESSAGE</t>
  </si>
  <si>
    <t>TRANSPORTATION totalCpuTimeMs</t>
  </si>
  <si>
    <t>TRANSPORTATION averageCpuTimeMs</t>
  </si>
  <si>
    <t>TRANSPORTATION performanceStatus</t>
  </si>
  <si>
    <t>TRANSPORTATION totalInvocationCount</t>
  </si>
  <si>
    <t>TRANSPORTATION currentInvocationCount</t>
  </si>
  <si>
    <t>TRANSPORTATION invocationPerObjectRatio</t>
  </si>
  <si>
    <t>TRANSPORTATION totalSourcingObjectCount</t>
  </si>
  <si>
    <t>TRANSPORTATION totalProcessedObjectCount</t>
  </si>
  <si>
    <t>computation  frontend invocationPerObjectRatio</t>
  </si>
  <si>
    <t>INGESTION SERVICE TOTAL TIME</t>
  </si>
  <si>
    <t>MESSAGE BROKER TOTAL TIME</t>
  </si>
  <si>
    <t>LCT ADAPTER TOTAL TIME</t>
  </si>
  <si>
    <t>61</t>
  </si>
  <si>
    <t>125</t>
  </si>
  <si>
    <t>83</t>
  </si>
  <si>
    <t>4</t>
  </si>
  <si>
    <t>39</t>
  </si>
  <si>
    <t>1000764.0</t>
  </si>
  <si>
    <t>47513</t>
  </si>
  <si>
    <t>479.93</t>
  </si>
  <si>
    <t>35240</t>
  </si>
  <si>
    <t>92691</t>
  </si>
  <si>
    <t>46345.5</t>
  </si>
  <si>
    <t>6494</t>
  </si>
  <si>
    <t>65.6</t>
  </si>
  <si>
    <t>6492</t>
  </si>
  <si>
    <t>882872</t>
  </si>
  <si>
    <t>145.02</t>
  </si>
  <si>
    <t>34840</t>
  </si>
  <si>
    <t>6088</t>
  </si>
  <si>
    <t>351.92</t>
  </si>
  <si>
    <t>28748</t>
  </si>
  <si>
    <t>25201</t>
  </si>
  <si>
    <t>4.08</t>
  </si>
  <si>
    <t>6178</t>
  </si>
  <si>
    <t>62.4</t>
  </si>
  <si>
    <t>561816.0</t>
  </si>
  <si>
    <t>36955</t>
  </si>
  <si>
    <t>369.55</t>
  </si>
  <si>
    <t>32707</t>
  </si>
  <si>
    <t>86889</t>
  </si>
  <si>
    <t>43444.5</t>
  </si>
  <si>
    <t>16506</t>
  </si>
  <si>
    <t>165.06</t>
  </si>
  <si>
    <t>16504</t>
  </si>
  <si>
    <t>448148</t>
  </si>
  <si>
    <t>214.02</t>
  </si>
  <si>
    <t>18304</t>
  </si>
  <si>
    <t>2094</t>
  </si>
  <si>
    <t>183.04</t>
  </si>
  <si>
    <t>16203</t>
  </si>
  <si>
    <t>26779</t>
  </si>
  <si>
    <t>12.49</t>
  </si>
  <si>
    <t>2144</t>
  </si>
  <si>
    <t>21.44</t>
  </si>
  <si>
    <t>758859.0</t>
  </si>
  <si>
    <t>28654</t>
  </si>
  <si>
    <t>289.43</t>
  </si>
  <si>
    <t>21385</t>
  </si>
  <si>
    <t>62034</t>
  </si>
  <si>
    <t>31017.0</t>
  </si>
  <si>
    <t>4840</t>
  </si>
  <si>
    <t>48.89</t>
  </si>
  <si>
    <t>4838</t>
  </si>
  <si>
    <t>676575</t>
  </si>
  <si>
    <t>188.88</t>
  </si>
  <si>
    <t>20134</t>
  </si>
  <si>
    <t>3582</t>
  </si>
  <si>
    <t>203.37</t>
  </si>
  <si>
    <t>16547</t>
  </si>
  <si>
    <t>20250</t>
  </si>
  <si>
    <t>5.5</t>
  </si>
  <si>
    <t>3679</t>
  </si>
  <si>
    <t>37.16</t>
  </si>
  <si>
    <t>195438.0</t>
  </si>
  <si>
    <t>26429</t>
  </si>
  <si>
    <t>264.29</t>
  </si>
  <si>
    <t>25815</t>
  </si>
  <si>
    <t>72579</t>
  </si>
  <si>
    <t>36289.5</t>
  </si>
  <si>
    <t>16382</t>
  </si>
  <si>
    <t>163.82</t>
  </si>
  <si>
    <t>16380</t>
  </si>
  <si>
    <t>102371</t>
  </si>
  <si>
    <t>366.92</t>
  </si>
  <si>
    <t>9717</t>
  </si>
  <si>
    <t>279</t>
  </si>
  <si>
    <t>97.17</t>
  </si>
  <si>
    <t>9435</t>
  </si>
  <si>
    <t>20488</t>
  </si>
  <si>
    <t>62.27</t>
  </si>
  <si>
    <t>329</t>
  </si>
  <si>
    <t>3.29</t>
  </si>
  <si>
    <t>768464.0</t>
  </si>
  <si>
    <t>43986</t>
  </si>
  <si>
    <t>444.3</t>
  </si>
  <si>
    <t>36373</t>
  </si>
  <si>
    <t>100012</t>
  </si>
  <si>
    <t>50006.0</t>
  </si>
  <si>
    <t>15497</t>
  </si>
  <si>
    <t>156.54</t>
  </si>
  <si>
    <t>15495</t>
  </si>
  <si>
    <t>639407</t>
  </si>
  <si>
    <t>169.47</t>
  </si>
  <si>
    <t>24653</t>
  </si>
  <si>
    <t>3773</t>
  </si>
  <si>
    <t>249.02</t>
  </si>
  <si>
    <t>20878</t>
  </si>
  <si>
    <t>29045</t>
  </si>
  <si>
    <t>7.57</t>
  </si>
  <si>
    <t>3835</t>
  </si>
  <si>
    <t>38.74</t>
  </si>
  <si>
    <t>693252.0</t>
  </si>
  <si>
    <t>44549</t>
  </si>
  <si>
    <t>445.49</t>
  </si>
  <si>
    <t>38875</t>
  </si>
  <si>
    <t>112370</t>
  </si>
  <si>
    <t>56185.0</t>
  </si>
  <si>
    <t>20416</t>
  </si>
  <si>
    <t>204.16</t>
  </si>
  <si>
    <t>20414</t>
  </si>
  <si>
    <t>545418</t>
  </si>
  <si>
    <t>193.55</t>
  </si>
  <si>
    <t>21279</t>
  </si>
  <si>
    <t>2818</t>
  </si>
  <si>
    <t>212.79</t>
  </si>
  <si>
    <t>18461</t>
  </si>
  <si>
    <t>35464</t>
  </si>
  <si>
    <t>12.43</t>
  </si>
  <si>
    <t>2853</t>
  </si>
  <si>
    <t>28.53</t>
  </si>
  <si>
    <t>380506.0</t>
  </si>
  <si>
    <t>25625</t>
  </si>
  <si>
    <t>256.25</t>
  </si>
  <si>
    <t>22465</t>
  </si>
  <si>
    <t>69390</t>
  </si>
  <si>
    <t>34695.0</t>
  </si>
  <si>
    <t>13219</t>
  </si>
  <si>
    <t>132.19</t>
  </si>
  <si>
    <t>13217</t>
  </si>
  <si>
    <t>291727</t>
  </si>
  <si>
    <t>187.36</t>
  </si>
  <si>
    <t>10806</t>
  </si>
  <si>
    <t>1557</t>
  </si>
  <si>
    <t>108.06</t>
  </si>
  <si>
    <t>9248</t>
  </si>
  <si>
    <t>19389</t>
  </si>
  <si>
    <t>12.13</t>
  </si>
  <si>
    <t>1599</t>
  </si>
  <si>
    <t>15.99</t>
  </si>
  <si>
    <t>512627.0</t>
  </si>
  <si>
    <t>26353</t>
  </si>
  <si>
    <t>317.51</t>
  </si>
  <si>
    <t>20690</t>
  </si>
  <si>
    <t>72965</t>
  </si>
  <si>
    <t>36482.5</t>
  </si>
  <si>
    <t>10275</t>
  </si>
  <si>
    <t>123.8</t>
  </si>
  <si>
    <t>10273</t>
  </si>
  <si>
    <t>418904</t>
  </si>
  <si>
    <t>149.56</t>
  </si>
  <si>
    <t>13276</t>
  </si>
  <si>
    <t>2801</t>
  </si>
  <si>
    <t>159.95</t>
  </si>
  <si>
    <t>10417</t>
  </si>
  <si>
    <t>20758</t>
  </si>
  <si>
    <t>7.41</t>
  </si>
  <si>
    <t>33.75</t>
  </si>
  <si>
    <t>16095.0</t>
  </si>
  <si>
    <t>958</t>
  </si>
  <si>
    <t>24.56</t>
  </si>
  <si>
    <t>1408</t>
  </si>
  <si>
    <t>3402</t>
  </si>
  <si>
    <t>3402.0</t>
  </si>
  <si>
    <t>211</t>
  </si>
  <si>
    <t>5.41</t>
  </si>
  <si>
    <t>210</t>
  </si>
  <si>
    <t>6849</t>
  </si>
  <si>
    <t>139.78</t>
  </si>
  <si>
    <t>654</t>
  </si>
  <si>
    <t>49</t>
  </si>
  <si>
    <t>16.77</t>
  </si>
  <si>
    <t>1198</t>
  </si>
  <si>
    <t>5844</t>
  </si>
  <si>
    <t>63.52</t>
  </si>
  <si>
    <t>2.36</t>
  </si>
  <si>
    <t>1305015.0</t>
  </si>
  <si>
    <t>86179</t>
  </si>
  <si>
    <t>879.38</t>
  </si>
  <si>
    <t>71625</t>
  </si>
  <si>
    <t>195788</t>
  </si>
  <si>
    <t>39157.6</t>
  </si>
  <si>
    <t>14087</t>
  </si>
  <si>
    <t>143.74</t>
  </si>
  <si>
    <t>14252</t>
  </si>
  <si>
    <t>1054762</t>
  </si>
  <si>
    <t>142.98</t>
  </si>
  <si>
    <t>64760</t>
  </si>
  <si>
    <t>7377</t>
  </si>
  <si>
    <t>660.82</t>
  </si>
  <si>
    <t>57373</t>
  </si>
  <si>
    <t>54465</t>
  </si>
  <si>
    <t>7.43</t>
  </si>
  <si>
    <t>7331</t>
  </si>
  <si>
    <t>74.81</t>
  </si>
  <si>
    <t>1116695.0</t>
  </si>
  <si>
    <t>57149</t>
  </si>
  <si>
    <t>936.87</t>
  </si>
  <si>
    <t>46763</t>
  </si>
  <si>
    <t>150421</t>
  </si>
  <si>
    <t>37605.25</t>
  </si>
  <si>
    <t>8657</t>
  </si>
  <si>
    <t>141.92</t>
  </si>
  <si>
    <t>8723</t>
  </si>
  <si>
    <t>939093</t>
  </si>
  <si>
    <t>180.14</t>
  </si>
  <si>
    <t>43262</t>
  </si>
  <si>
    <t>5213</t>
  </si>
  <si>
    <t>709.21</t>
  </si>
  <si>
    <t>38040</t>
  </si>
  <si>
    <t>27181</t>
  </si>
  <si>
    <t>5.2</t>
  </si>
  <si>
    <t>5229</t>
  </si>
  <si>
    <t>85.72</t>
  </si>
  <si>
    <t>108812.0</t>
  </si>
  <si>
    <t>38.72</t>
  </si>
  <si>
    <t>3901</t>
  </si>
  <si>
    <t>68115</t>
  </si>
  <si>
    <t>9730.71</t>
  </si>
  <si>
    <t>2816</t>
  </si>
  <si>
    <t>22.53</t>
  </si>
  <si>
    <t>2809</t>
  </si>
  <si>
    <t>10783</t>
  </si>
  <si>
    <t>43.13</t>
  </si>
  <si>
    <t>1660</t>
  </si>
  <si>
    <t>250</t>
  </si>
  <si>
    <t>13.28</t>
  </si>
  <si>
    <t>1092</t>
  </si>
  <si>
    <t>29914</t>
  </si>
  <si>
    <t>82.41</t>
  </si>
  <si>
    <t>363</t>
  </si>
  <si>
    <t>2.9</t>
  </si>
  <si>
    <t>7775.0</t>
  </si>
  <si>
    <t>427</t>
  </si>
  <si>
    <t>106.75</t>
  </si>
  <si>
    <t>525</t>
  </si>
  <si>
    <t>336</t>
  </si>
  <si>
    <t>336.0</t>
  </si>
  <si>
    <t>36</t>
  </si>
  <si>
    <t>9.0</t>
  </si>
  <si>
    <t>5659</t>
  </si>
  <si>
    <t>404.21</t>
  </si>
  <si>
    <t>343</t>
  </si>
  <si>
    <t>85.75</t>
  </si>
  <si>
    <t>489</t>
  </si>
  <si>
    <t>1780</t>
  </si>
  <si>
    <t>37.87</t>
  </si>
  <si>
    <t>47</t>
  </si>
  <si>
    <t>11.75</t>
  </si>
  <si>
    <t>491.0</t>
  </si>
  <si>
    <t>72</t>
  </si>
  <si>
    <t>36.0</t>
  </si>
  <si>
    <t>52</t>
  </si>
  <si>
    <t>226</t>
  </si>
  <si>
    <t>226.0</t>
  </si>
  <si>
    <t>31</t>
  </si>
  <si>
    <t>15.5</t>
  </si>
  <si>
    <t>30</t>
  </si>
  <si>
    <t>249</t>
  </si>
  <si>
    <t>62.25</t>
  </si>
  <si>
    <t>16.0</t>
  </si>
  <si>
    <t>16</t>
  </si>
  <si>
    <t>2.0</t>
  </si>
  <si>
    <t>8</t>
  </si>
  <si>
    <t>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</si>
</sst>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:ss.000"/>
    <numFmt numFmtId="165" formatCode="yyyy/mm/dd\ hh:mm:ss.00\ AM/PM"/>
    <numFmt numFmtId="166" formatCode="0.0000"/>
  </numFmts>
  <fonts count="10" x14ac:knownFonts="1">
    <font>
      <sz val="11"/>
      <color theme="1"/>
      <name val="Calibri"/>
      <family val="2"/>
      <scheme val="minor"/>
    </font>
    <font>
      <b/>
      <sz val="20"/>
      <color theme="1" tint="0.34998626667073579"/>
      <name val="Century Gothic"/>
      <family val="1"/>
    </font>
    <font>
      <b/>
      <sz val="20"/>
      <color theme="0" tint="-0.49995422223578601"/>
      <name val="Century Gothic"/>
      <family val="1"/>
    </font>
    <font>
      <b/>
      <sz val="10"/>
      <color theme="1"/>
      <name val="Century Gothic"/>
      <family val="1"/>
    </font>
    <font>
      <sz val="10"/>
      <color rgb="FF000000"/>
      <name val="Century Gothic"/>
      <family val="1"/>
    </font>
    <font>
      <sz val="10"/>
      <color theme="1"/>
      <name val="Century Gothic"/>
      <family val="1"/>
    </font>
    <font>
      <sz val="10"/>
      <color rgb="FF000000"/>
      <name val="Century Gothic"/>
      <family val="2"/>
    </font>
    <font>
      <sz val="10"/>
      <color rgb="FF008000"/>
      <name val="Century Gothic"/>
      <family val="1"/>
    </font>
    <font>
      <b/>
      <sz val="10"/>
      <color rgb="FF000000"/>
      <name val="Century Gothic"/>
      <family val="2"/>
    </font>
    <font>
      <b/>
      <sz val="11"/>
      <name val="Calibri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AEEF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3" borderId="2" xfId="0" applyFont="1" applyFill="1" applyBorder="1" applyAlignment="1">
      <alignment horizontal="left" vertical="center" wrapText="1" indent="1"/>
    </xf>
    <xf numFmtId="0" fontId="4" fillId="2" borderId="0" xfId="0" applyFont="1" applyFill="1" applyAlignment="1">
      <alignment horizontal="left" vertical="center" indent="1"/>
    </xf>
    <xf numFmtId="9" fontId="5" fillId="2" borderId="0" xfId="0" applyNumberFormat="1" applyFont="1" applyFill="1" applyAlignment="1">
      <alignment horizontal="left" vertical="center" indent="1"/>
    </xf>
    <xf numFmtId="0" fontId="0" fillId="2" borderId="0" xfId="0" applyFill="1"/>
    <xf numFmtId="0" fontId="5" fillId="0" borderId="3" xfId="0" applyFont="1" applyBorder="1" applyAlignment="1">
      <alignment horizontal="center" vertical="center" wrapText="1"/>
    </xf>
    <xf numFmtId="9" fontId="7" fillId="0" borderId="3" xfId="0" applyNumberFormat="1" applyFont="1" applyBorder="1" applyAlignment="1">
      <alignment horizontal="left" vertical="center" wrapText="1" indent="1"/>
    </xf>
    <xf numFmtId="0" fontId="6" fillId="0" borderId="3" xfId="0" applyFont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165" fontId="8" fillId="2" borderId="0" xfId="0" applyNumberFormat="1" applyFont="1" applyFill="1" applyAlignment="1">
      <alignment horizontal="left" vertical="center" indent="1"/>
    </xf>
    <xf numFmtId="2" fontId="5" fillId="0" borderId="3" xfId="0" applyNumberFormat="1" applyFont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6" fillId="0" borderId="4" xfId="0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64" fontId="5" fillId="0" borderId="3" xfId="0" applyNumberFormat="1" applyFont="1" applyBorder="1" applyAlignment="1">
      <alignment horizontal="center" vertical="center" wrapText="1"/>
    </xf>
    <xf numFmtId="166" fontId="6" fillId="0" borderId="3" xfId="0" applyNumberFormat="1" applyFont="1" applyBorder="1" applyAlignment="1">
      <alignment horizontal="center" vertical="center" wrapText="1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0" fontId="9" fillId="11" borderId="1" xfId="0" applyFont="1" applyFill="1" applyBorder="1" applyAlignment="1">
      <alignment horizontal="center" vertical="center"/>
    </xf>
    <xf numFmtId="2" fontId="9" fillId="11" borderId="1" xfId="0" applyNumberFormat="1" applyFont="1" applyFill="1" applyBorder="1" applyAlignment="1">
      <alignment horizontal="center" vertical="center"/>
    </xf>
    <xf numFmtId="164" fontId="9" fillId="11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consumption in lct services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6D3E-4B68-ADF0-0FE13CFE77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6D3E-4B68-ADF0-0FE13CFE77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D3E-4B68-ADF0-0FE13CFE77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D3E-4B68-ADF0-0FE13CFE7779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 20.26%</a:t>
                    </a:r>
                  </a:p>
                  <a:p>
                    <a:pPr>
                      <a:defRPr/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D3E-4B68-ADF0-0FE13CFE7779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A902A27-A890-45F2-937C-6D30F0492CF5}" type="VALUE">
                      <a:rPr lang="en-US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[VALUE]</a:t>
                    </a:fld>
                    <a:r>
                      <a:rPr lang="en-US"/>
                      <a:t>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separator>. 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6D3E-4B68-ADF0-0FE13CFE7779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 </a:t>
                    </a:r>
                    <a:fld id="{2DAD8D73-090A-4A16-9F9E-C1A6D709F133}" type="VALUE">
                      <a:rPr lang="en-US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[VALUE]</a:t>
                    </a:fld>
                    <a:r>
                      <a:rPr lang="en-US"/>
                      <a:t>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6D3E-4B68-ADF0-0FE13CFE7779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 </a:t>
                    </a:r>
                    <a:fld id="{63A26662-4175-47B4-B7B9-DD9E3FE574E4}" type="VALUE">
                      <a:rPr lang="en-US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[VALUE]</a:t>
                    </a:fld>
                    <a:r>
                      <a:rPr lang="en-US"/>
                      <a:t>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6D3E-4B68-ADF0-0FE13CFE777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Report!$C$10:$C$13</c:f>
              <c:strCache>
                <c:ptCount val="4"/>
                <c:pt idx="0">
                  <c:v>Ingestion Service</c:v>
                </c:pt>
                <c:pt idx="1">
                  <c:v>Message Broker</c:v>
                </c:pt>
                <c:pt idx="2">
                  <c:v>LCT Adapter</c:v>
                </c:pt>
                <c:pt idx="3">
                  <c:v>Computation</c:v>
                </c:pt>
              </c:strCache>
            </c:strRef>
          </c:cat>
          <c:val>
            <c:numRef>
              <c:f>Report!$I$10:$I$13</c:f>
              <c:numCache>
                <c:formatCode>0.00</c:formatCode>
                <c:ptCount val="4"/>
                <c:pt idx="0">
                  <c:v>1.6725865088903504</c:v>
                </c:pt>
                <c:pt idx="1">
                  <c:v>2.1308813151493924</c:v>
                </c:pt>
                <c:pt idx="2">
                  <c:v>6.763829597504543</c:v>
                </c:pt>
                <c:pt idx="3">
                  <c:v>89.432702578455718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3E-4B68-ADF0-0FE13CFE77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EXECUTION</a:t>
            </a:r>
            <a:r>
              <a:rPr lang="en-US" b="1" baseline="0"/>
              <a:t> TIME MESSAGE TYPE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F831-4396-A472-5B6F7E9ECB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31-4396-A472-5B6F7E9ECB9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31-4396-A472-5B6F7E9ECB9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831-4396-A472-5B6F7E9ECB90}"/>
              </c:ext>
            </c:extLst>
          </c:dPt>
          <c:dLbls>
            <c:dLbl>
              <c:idx val="0"/>
              <c:layout>
                <c:manualLayout>
                  <c:x val="-0.15894117408482167"/>
                  <c:y val="-1.5533689908324594E-2"/>
                </c:manualLayout>
              </c:layout>
              <c:tx>
                <c:rich>
                  <a:bodyPr/>
                  <a:lstStyle/>
                  <a:p>
                    <a:fld id="{A9C52649-EF16-4D54-89F1-BFDABC330CBB}" type="VALUE">
                      <a:rPr lang="en-US"/>
                      <a:pPr/>
                      <a:t>[VALUE]</a:t>
                    </a:fld>
                    <a:r>
                      <a:rPr lang="en-US"/>
                      <a:t> sec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F831-4396-A472-5B6F7E9ECB90}"/>
                </c:ext>
              </c:extLst>
            </c:dLbl>
            <c:dLbl>
              <c:idx val="1"/>
              <c:layout>
                <c:manualLayout>
                  <c:x val="0.1360718064352337"/>
                  <c:y val="-1.6021470687321508E-2"/>
                </c:manualLayout>
              </c:layout>
              <c:tx>
                <c:rich>
                  <a:bodyPr/>
                  <a:lstStyle/>
                  <a:p>
                    <a:fld id="{A6C635D0-96AE-4D3C-AE16-56B5DE7B7B9B}" type="VALUE">
                      <a:rPr lang="en-US"/>
                      <a:pPr/>
                      <a:t>[VALUE]</a:t>
                    </a:fld>
                    <a:r>
                      <a:rPr lang="en-US"/>
                      <a:t> sec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F831-4396-A472-5B6F7E9ECB90}"/>
                </c:ext>
              </c:extLst>
            </c:dLbl>
            <c:dLbl>
              <c:idx val="2"/>
              <c:layout>
                <c:manualLayout>
                  <c:x val="0.17308179034071478"/>
                  <c:y val="-4.5059456280676022E-2"/>
                </c:manualLayout>
              </c:layout>
              <c:tx>
                <c:rich>
                  <a:bodyPr/>
                  <a:lstStyle/>
                  <a:p>
                    <a:fld id="{E5CD6847-6380-404B-A9B2-A0B7C9B6D1C2}" type="VALUE">
                      <a:rPr lang="en-US"/>
                      <a:pPr/>
                      <a:t>[VALUE]</a:t>
                    </a:fld>
                    <a:r>
                      <a:rPr lang="en-US"/>
                      <a:t> sec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F831-4396-A472-5B6F7E9ECB90}"/>
                </c:ext>
              </c:extLst>
            </c:dLbl>
            <c:dLbl>
              <c:idx val="3"/>
              <c:layout>
                <c:manualLayout>
                  <c:x val="8.3577916463714014E-2"/>
                  <c:y val="-1.4493249637810124E-2"/>
                </c:manualLayout>
              </c:layout>
              <c:tx>
                <c:rich>
                  <a:bodyPr/>
                  <a:lstStyle/>
                  <a:p>
                    <a:fld id="{13B9E393-5CD7-4832-AE2A-F278374E1EDE}" type="VALUE">
                      <a:rPr lang="en-US"/>
                      <a:pPr/>
                      <a:t>[VALUE]</a:t>
                    </a:fld>
                    <a:r>
                      <a:rPr lang="en-US" baseline="0"/>
                      <a:t> sec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F831-4396-A472-5B6F7E9ECB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Report!$C$16:$C$19</c:f>
              <c:strCache>
                <c:ptCount val="4"/>
                <c:pt idx="0">
                  <c:v>customerOrder</c:v>
                </c:pt>
                <c:pt idx="1">
                  <c:v>purchaseOrder</c:v>
                </c:pt>
                <c:pt idx="2">
                  <c:v>transportChain</c:v>
                </c:pt>
                <c:pt idx="3">
                  <c:v>transportInstruction</c:v>
                </c:pt>
              </c:strCache>
            </c:strRef>
          </c:cat>
          <c:val>
            <c:numRef>
              <c:f>Report!$D$16:$D$19</c:f>
              <c:numCache>
                <c:formatCode>0.00</c:formatCode>
                <c:ptCount val="4"/>
                <c:pt idx="0">
                  <c:v>532.3870005318895</c:v>
                </c:pt>
                <c:pt idx="1">
                  <c:v>2026.3989997794852</c:v>
                </c:pt>
                <c:pt idx="2">
                  <c:v>3786.6430002031848</c:v>
                </c:pt>
                <c:pt idx="3">
                  <c:v>3640.4950005467981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31-4396-A472-5B6F7E9ECB9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217830</xdr:colOff>
      <xdr:row>2</xdr:row>
      <xdr:rowOff>549276</xdr:rowOff>
    </xdr:from>
    <xdr:to>
      <xdr:col>18</xdr:col>
      <xdr:colOff>19050</xdr:colOff>
      <xdr:row>10</xdr:row>
      <xdr:rowOff>382933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396F7B2-E872-46BF-89DD-035A1294A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114713</xdr:colOff>
      <xdr:row>13</xdr:row>
      <xdr:rowOff>82550</xdr:rowOff>
    </xdr:from>
    <xdr:to>
      <xdr:col>18</xdr:col>
      <xdr:colOff>501650</xdr:colOff>
      <xdr:row>21</xdr:row>
      <xdr:rowOff>17394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A90437-E0FF-437D-8386-9ADF900475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027147/PycharmProjects/IngestionReport/Report/From-%20October-16-2021%20To-%20October-16-2021/IngestionReport/IngestionReport%20From-%20h01m37s01ms807000%20To-%20h01m38s12ms33700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tailReport"/>
      <sheetName val="SummaryReport"/>
      <sheetName val="OrderMetrics"/>
      <sheetName val="TransportationMetrics"/>
    </sheetNames>
    <sheetDataSet>
      <sheetData sheetId="0">
        <row r="1">
          <cell r="F1" t="str">
            <v>INGESTION SERVICE TOTAL TIME</v>
          </cell>
        </row>
        <row r="2">
          <cell r="F2">
            <v>0.35</v>
          </cell>
        </row>
        <row r="3">
          <cell r="F3">
            <v>0.21</v>
          </cell>
        </row>
        <row r="4">
          <cell r="F4">
            <v>0.11</v>
          </cell>
        </row>
        <row r="5">
          <cell r="F5">
            <v>0.35</v>
          </cell>
        </row>
        <row r="6">
          <cell r="F6">
            <v>0.11</v>
          </cell>
        </row>
        <row r="7">
          <cell r="F7">
            <v>0.26</v>
          </cell>
        </row>
        <row r="8">
          <cell r="F8">
            <v>0.04</v>
          </cell>
        </row>
        <row r="9">
          <cell r="F9">
            <v>0.28000000000000003</v>
          </cell>
        </row>
        <row r="10">
          <cell r="F10">
            <v>0.24</v>
          </cell>
        </row>
        <row r="11">
          <cell r="F11">
            <v>0.19</v>
          </cell>
        </row>
        <row r="12">
          <cell r="F12">
            <v>0.83</v>
          </cell>
        </row>
        <row r="13">
          <cell r="F13">
            <v>0.04</v>
          </cell>
        </row>
        <row r="14">
          <cell r="F14">
            <v>0.03</v>
          </cell>
        </row>
        <row r="15">
          <cell r="F15">
            <v>0.05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B4EA9-C2FD-4E22-A33E-01AE5EA39604}">
  <sheetPr codeName="Sheet6"/>
  <dimension ref="A2:J24"/>
  <sheetViews>
    <sheetView tabSelected="1" topLeftCell="B4" zoomScaleNormal="100" workbookViewId="0">
      <selection activeCell="F27" sqref="F27"/>
    </sheetView>
  </sheetViews>
  <sheetFormatPr defaultRowHeight="14.5" x14ac:dyDescent="0.35"/>
  <cols>
    <col min="1" max="1" width="8.7265625" style="8" customWidth="1"/>
    <col min="2" max="2" width="33.26953125" style="8" customWidth="1"/>
    <col min="3" max="3" width="28.08984375" style="8" customWidth="1"/>
    <col min="4" max="4" width="18.81640625" style="8" customWidth="1"/>
    <col min="5" max="5" width="27.453125" style="8" customWidth="1"/>
    <col min="6" max="6" width="26" style="8" bestFit="1" customWidth="1"/>
    <col min="7" max="7" width="14.08984375" style="8" customWidth="1"/>
    <col min="8" max="8" width="23.81640625" style="8" customWidth="1"/>
    <col min="9" max="9" width="18.7265625" style="8" customWidth="1"/>
    <col min="10" max="10" width="17.81640625" style="8" bestFit="1" customWidth="1"/>
    <col min="11" max="16384" width="8.7265625" style="8"/>
  </cols>
  <sheetData>
    <row r="2" spans="1:10" ht="17.5" customHeight="1" x14ac:dyDescent="0.35"/>
    <row r="3" spans="1:10" ht="44" customHeight="1" x14ac:dyDescent="0.35">
      <c r="B3" s="3" t="s">
        <v>58</v>
      </c>
      <c r="C3" s="4"/>
    </row>
    <row r="4" spans="1:10" ht="40" customHeight="1" x14ac:dyDescent="0.35">
      <c r="B4" s="5" t="s">
        <v>22</v>
      </c>
      <c r="C4" s="13">
        <f>MIN(DetailReport!D:D)</f>
        <v>44485.06738202546</v>
      </c>
    </row>
    <row r="5" spans="1:10" ht="43" customHeight="1" x14ac:dyDescent="0.35">
      <c r="B5" s="5" t="s">
        <v>26</v>
      </c>
      <c r="C5" s="13">
        <f>MAX(DetailReport!O:O)</f>
        <v>44485.111299571763</v>
      </c>
    </row>
    <row r="6" spans="1:10" ht="40" customHeight="1" x14ac:dyDescent="0.35">
      <c r="B6" s="5" t="s">
        <v>23</v>
      </c>
      <c r="C6" s="6" t="s">
        <v>24</v>
      </c>
    </row>
    <row r="7" spans="1:10" ht="45.5" customHeight="1" x14ac:dyDescent="0.35">
      <c r="B7" s="5" t="s">
        <v>25</v>
      </c>
      <c r="C7" s="7" t="s">
        <v>2</v>
      </c>
    </row>
    <row r="9" spans="1:10" ht="41" customHeight="1" x14ac:dyDescent="0.35">
      <c r="B9" s="12" t="s">
        <v>27</v>
      </c>
      <c r="C9" s="12" t="s">
        <v>28</v>
      </c>
      <c r="D9" s="12" t="s">
        <v>56</v>
      </c>
      <c r="E9" s="12" t="s">
        <v>57</v>
      </c>
      <c r="F9" s="12" t="s">
        <v>30</v>
      </c>
      <c r="G9" s="12" t="s">
        <v>19</v>
      </c>
      <c r="H9" s="12" t="s">
        <v>36</v>
      </c>
      <c r="I9" s="12" t="s">
        <v>59</v>
      </c>
    </row>
    <row r="10" spans="1:10" ht="29" customHeight="1" x14ac:dyDescent="0.35">
      <c r="A10" s="24"/>
      <c r="B10" s="11">
        <f>COUNT(DetailReport!D:D)</f>
        <v>14</v>
      </c>
      <c r="C10" s="11" t="s">
        <v>31</v>
      </c>
      <c r="D10" s="14">
        <f>SUM([1]DetailReport!$F:$F)</f>
        <v>3.09</v>
      </c>
      <c r="E10" s="14">
        <f>SUM(MAX(DetailReport!E:E)-MIN(DetailReport!D:D))*24*60*60</f>
        <v>70.583000150509179</v>
      </c>
      <c r="F10" s="10" t="s">
        <v>2</v>
      </c>
      <c r="G10" s="14">
        <f>AVERAGE(DetailReport!F:F)</f>
        <v>0.2207142857142857</v>
      </c>
      <c r="H10" s="18">
        <f>SUM(SummaryReport!E:E)</f>
        <v>1109</v>
      </c>
      <c r="I10" s="14">
        <f>SUM(E10*100)/J13</f>
        <v>1.6725865088903504</v>
      </c>
    </row>
    <row r="11" spans="1:10" ht="34" customHeight="1" x14ac:dyDescent="0.35">
      <c r="A11" s="23"/>
      <c r="B11" s="11">
        <f>COUNT(DetailReport!D:D)</f>
        <v>14</v>
      </c>
      <c r="C11" s="11" t="s">
        <v>32</v>
      </c>
      <c r="D11" s="17">
        <f>SUM(DetailReport!I:I)</f>
        <v>193.36999999999998</v>
      </c>
      <c r="E11" s="14">
        <f>SUM(MAX(DetailReport!H:H)-MIN(DetailReport!G:G))*24*60*60</f>
        <v>89.922999730333686</v>
      </c>
      <c r="F11" s="10" t="s">
        <v>2</v>
      </c>
      <c r="G11" s="14">
        <f>AVERAGE(DetailReport!I:I)</f>
        <v>13.812142857142856</v>
      </c>
      <c r="H11" s="18">
        <f>SUM(SummaryReport!E:E)</f>
        <v>1109</v>
      </c>
      <c r="I11" s="14">
        <f>SUM((E11*100)/J13)</f>
        <v>2.1308813151493924</v>
      </c>
    </row>
    <row r="12" spans="1:10" ht="35" customHeight="1" x14ac:dyDescent="0.35">
      <c r="A12" s="22"/>
      <c r="B12" s="11">
        <f>COUNT(DetailReport!D:D)</f>
        <v>14</v>
      </c>
      <c r="C12" s="11" t="s">
        <v>33</v>
      </c>
      <c r="D12" s="9">
        <f>SUM(DetailReport!L:L)</f>
        <v>1692.8799999999999</v>
      </c>
      <c r="E12" s="14">
        <f>SUM(MAX(DetailReport!K:K)-MIN(DetailReport!J:J))*24*60*60</f>
        <v>285.43300030287355</v>
      </c>
      <c r="F12" s="10" t="s">
        <v>2</v>
      </c>
      <c r="G12" s="14">
        <f>AVERAGE(DetailReport!L:L)</f>
        <v>120.91999999999999</v>
      </c>
      <c r="H12" s="18">
        <f>SUM(SummaryReport!E:E)</f>
        <v>1109</v>
      </c>
      <c r="I12" s="14">
        <f>SUM(E12*100/J13)</f>
        <v>6.763829597504543</v>
      </c>
      <c r="J12" s="12" t="s">
        <v>60</v>
      </c>
    </row>
    <row r="13" spans="1:10" ht="32" customHeight="1" x14ac:dyDescent="0.35">
      <c r="A13" s="21"/>
      <c r="B13" s="11">
        <f>COUNT(DetailReport!D:D)</f>
        <v>14</v>
      </c>
      <c r="C13" s="11" t="s">
        <v>34</v>
      </c>
      <c r="D13" s="9">
        <f>SUM(DetailReport!Q:Q)</f>
        <v>16951.03</v>
      </c>
      <c r="E13" s="14">
        <f>SUM(MAX(DetailReport!O:O)-MIN(DetailReport!N:N))*24*60*60</f>
        <v>3774.0520003018901</v>
      </c>
      <c r="F13" s="10" t="s">
        <v>2</v>
      </c>
      <c r="G13" s="14">
        <f>AVERAGE(DetailReport!Q:Q)</f>
        <v>1210.7878571428571</v>
      </c>
      <c r="H13" s="18">
        <f>SUM(SummaryReport!E:E)</f>
        <v>1109</v>
      </c>
      <c r="I13" s="14">
        <f>SUM(E13*100/J13)</f>
        <v>89.432702578455718</v>
      </c>
      <c r="J13" s="18">
        <f>SUM(E10:E13)</f>
        <v>4219.9910004856065</v>
      </c>
    </row>
    <row r="14" spans="1:10" ht="26.5" customHeight="1" x14ac:dyDescent="0.35">
      <c r="E14" s="14"/>
    </row>
    <row r="15" spans="1:10" ht="31" customHeight="1" x14ac:dyDescent="0.35">
      <c r="B15" s="12" t="s">
        <v>27</v>
      </c>
      <c r="C15" s="12" t="s">
        <v>35</v>
      </c>
      <c r="D15" s="12" t="s">
        <v>56</v>
      </c>
      <c r="E15" s="12" t="s">
        <v>61</v>
      </c>
      <c r="F15" s="12" t="s">
        <v>17</v>
      </c>
      <c r="G15" s="12" t="s">
        <v>19</v>
      </c>
      <c r="H15" s="12" t="s">
        <v>36</v>
      </c>
      <c r="I15" s="12" t="s">
        <v>62</v>
      </c>
    </row>
    <row r="16" spans="1:10" ht="32" customHeight="1" x14ac:dyDescent="0.35">
      <c r="A16" s="24"/>
      <c r="B16" s="11">
        <v>8</v>
      </c>
      <c r="C16" s="11" t="s">
        <v>18</v>
      </c>
      <c r="D16" s="14">
        <f>SUM(SummaryReport!N2-SummaryReport!G2)*24*60*60</f>
        <v>532.3870005318895</v>
      </c>
      <c r="E16" s="10" t="s">
        <v>2</v>
      </c>
      <c r="F16" s="10" t="s">
        <v>2</v>
      </c>
      <c r="G16" s="11">
        <v>471.16</v>
      </c>
      <c r="H16" s="11">
        <v>780</v>
      </c>
      <c r="I16" s="20">
        <f>SUM(G16/H16)</f>
        <v>0.60405128205128211</v>
      </c>
    </row>
    <row r="17" spans="1:9" ht="28" customHeight="1" x14ac:dyDescent="0.35">
      <c r="A17" s="23"/>
      <c r="B17" s="11">
        <v>1</v>
      </c>
      <c r="C17" s="11" t="s">
        <v>3</v>
      </c>
      <c r="D17" s="14">
        <f>SUM(SummaryReport!N3-SummaryReport!G3)*24*60*60</f>
        <v>2026.3989997794852</v>
      </c>
      <c r="E17" s="10" t="s">
        <v>2</v>
      </c>
      <c r="F17" s="10" t="s">
        <v>2</v>
      </c>
      <c r="G17" s="11">
        <v>2026.35</v>
      </c>
      <c r="H17" s="11">
        <v>39</v>
      </c>
      <c r="I17" s="20">
        <f t="shared" ref="I17:I19" si="0">SUM(G17/H17)</f>
        <v>51.957692307692305</v>
      </c>
    </row>
    <row r="18" spans="1:9" ht="30.5" customHeight="1" x14ac:dyDescent="0.35">
      <c r="A18" s="25"/>
      <c r="B18" s="11">
        <v>2</v>
      </c>
      <c r="C18" s="11" t="s">
        <v>4</v>
      </c>
      <c r="D18" s="14">
        <f>SUM(SummaryReport!N4-SummaryReport!G4)*24*60*60</f>
        <v>3786.6430002031848</v>
      </c>
      <c r="E18" s="10" t="s">
        <v>2</v>
      </c>
      <c r="F18" s="10" t="s">
        <v>2</v>
      </c>
      <c r="G18" s="11">
        <v>2064.04</v>
      </c>
      <c r="H18" s="11">
        <v>127</v>
      </c>
      <c r="I18" s="20">
        <f t="shared" si="0"/>
        <v>16.252283464566929</v>
      </c>
    </row>
    <row r="19" spans="1:9" ht="28" customHeight="1" x14ac:dyDescent="0.35">
      <c r="A19" s="26"/>
      <c r="B19" s="11">
        <v>3</v>
      </c>
      <c r="C19" s="11" t="s">
        <v>0</v>
      </c>
      <c r="D19" s="14">
        <f>SUM(SummaryReport!N5-SummaryReport!G5)*24*60*60</f>
        <v>3640.4950005467981</v>
      </c>
      <c r="E19" s="10" t="s">
        <v>2</v>
      </c>
      <c r="F19" s="10" t="s">
        <v>2</v>
      </c>
      <c r="G19" s="11">
        <v>2521.12</v>
      </c>
      <c r="H19" s="11">
        <v>163</v>
      </c>
      <c r="I19" s="20">
        <f t="shared" si="0"/>
        <v>15.466993865030673</v>
      </c>
    </row>
    <row r="23" spans="1:9" x14ac:dyDescent="0.35">
      <c r="B23" s="12" t="s">
        <v>27</v>
      </c>
      <c r="C23" s="12" t="s">
        <v>29</v>
      </c>
      <c r="D23" s="12" t="s">
        <v>25</v>
      </c>
    </row>
    <row r="24" spans="1:9" x14ac:dyDescent="0.35">
      <c r="B24" s="11">
        <f>COUNT(DetailReport!D:D)</f>
        <v>14</v>
      </c>
      <c r="C24" s="19">
        <f>SUM(C5-C4)</f>
        <v>4.3917546303418931E-2</v>
      </c>
      <c r="D24" s="10" t="s">
        <v>2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FF4B-155B-48FB-9426-DB590667B21B}">
  <sheetPr codeName="Sheet1"/>
  <dimension ref="A1:S34"/>
  <sheetViews>
    <sheetView topLeftCell="J1" workbookViewId="0">
      <pane ySplit="1" topLeftCell="A2" activePane="bottomLeft" state="frozenSplit"/>
      <selection pane="bottomLeft" activeCell="A40" sqref="A40"/>
    </sheetView>
  </sheetViews>
  <sheetFormatPr defaultRowHeight="14.5" x14ac:dyDescent="0.35"/>
  <cols>
    <col min="1" max="1" width="73.90625" style="15" bestFit="1" customWidth="1"/>
    <col min="2" max="2" width="21.08984375" style="15" bestFit="1" customWidth="1"/>
    <col min="3" max="3" width="16.7265625" style="15" bestFit="1" customWidth="1"/>
    <col min="4" max="4" width="39.26953125" style="16" bestFit="1" customWidth="1"/>
    <col min="5" max="5" width="39.6328125" style="16" bestFit="1" customWidth="1"/>
    <col min="6" max="6" width="28.6328125" style="16" bestFit="1" customWidth="1"/>
    <col min="7" max="7" width="29" style="16" bestFit="1" customWidth="1"/>
    <col min="8" max="8" width="29.453125" style="16" bestFit="1" customWidth="1"/>
    <col min="9" max="9" width="29" style="16" bestFit="1" customWidth="1"/>
    <col min="10" max="10" width="24.6328125" style="16" bestFit="1" customWidth="1"/>
    <col min="11" max="11" width="24.08984375" style="16" bestFit="1" customWidth="1"/>
    <col min="12" max="12" width="25.08984375" style="16" bestFit="1" customWidth="1"/>
    <col min="13" max="13" width="15.90625" style="16" bestFit="1" customWidth="1"/>
    <col min="14" max="14" width="26.26953125" style="16" bestFit="1" customWidth="1"/>
    <col min="15" max="15" width="27.08984375" style="16" bestFit="1" customWidth="1"/>
    <col min="16" max="16" width="25.7265625" style="15" bestFit="1" customWidth="1"/>
    <col min="17" max="17" width="29.453125" style="15" bestFit="1" customWidth="1"/>
    <col min="18" max="18" width="24.08984375" style="15" bestFit="1" customWidth="1"/>
    <col min="19" max="19" width="25.36328125" style="15" bestFit="1" customWidth="1"/>
    <col min="20" max="16384" width="8.7265625" style="15"/>
  </cols>
  <sheetData>
    <row r="1" spans="1:19" ht="31" customHeight="1" x14ac:dyDescent="0.35">
      <c r="A1" s="30" t="s">
        <v>5</v>
      </c>
      <c r="B1" s="30" t="s">
        <v>6</v>
      </c>
      <c r="C1" s="30" t="s">
        <v>7</v>
      </c>
      <c r="D1" s="32" t="s">
        <v>8</v>
      </c>
      <c r="E1" s="32" t="s">
        <v>9</v>
      </c>
      <c r="F1" s="30" t="s">
        <v>119</v>
      </c>
      <c r="G1" s="32" t="s">
        <v>10</v>
      </c>
      <c r="H1" s="32" t="s">
        <v>11</v>
      </c>
      <c r="I1" s="30" t="s">
        <v>120</v>
      </c>
      <c r="J1" s="32" t="s">
        <v>12</v>
      </c>
      <c r="K1" s="32" t="s">
        <v>53</v>
      </c>
      <c r="L1" s="30" t="s">
        <v>121</v>
      </c>
      <c r="M1" s="30" t="s">
        <v>54</v>
      </c>
      <c r="N1" s="32" t="s">
        <v>55</v>
      </c>
      <c r="O1" s="32" t="s">
        <v>16</v>
      </c>
      <c r="P1" s="30" t="s">
        <v>17</v>
      </c>
      <c r="Q1" s="30" t="s">
        <v>37</v>
      </c>
      <c r="R1" s="30" t="s">
        <v>36</v>
      </c>
      <c r="S1" s="30" t="s">
        <v>52</v>
      </c>
    </row>
    <row r="2" spans="1:19" x14ac:dyDescent="0.35">
      <c r="A2" s="1" t="s">
        <v>38</v>
      </c>
      <c r="B2" s="1" t="s">
        <v>0</v>
      </c>
      <c r="C2" s="1" t="s">
        <v>1</v>
      </c>
      <c r="D2" s="2">
        <v>44485.06738202546</v>
      </c>
      <c r="E2" s="2">
        <v>44485.067386111114</v>
      </c>
      <c r="F2" s="1">
        <v>0.35</v>
      </c>
      <c r="G2" s="2">
        <v>44485.067624039351</v>
      </c>
      <c r="H2" s="2">
        <v>44485.068112152781</v>
      </c>
      <c r="I2" s="1">
        <v>42.17</v>
      </c>
      <c r="J2" s="2">
        <v>44485.068114317131</v>
      </c>
      <c r="K2" s="2">
        <v>44485.070908796297</v>
      </c>
      <c r="L2" s="1">
        <v>241.44</v>
      </c>
      <c r="M2" s="1" t="s">
        <v>2</v>
      </c>
      <c r="N2" s="2">
        <v>44485.068135138892</v>
      </c>
      <c r="O2" s="2">
        <v>44485.109517384262</v>
      </c>
      <c r="P2" s="1" t="s">
        <v>2</v>
      </c>
      <c r="Q2" s="1">
        <v>3575.43</v>
      </c>
      <c r="R2" s="1" t="s">
        <v>81</v>
      </c>
      <c r="S2" s="1">
        <v>3640.14</v>
      </c>
    </row>
    <row r="3" spans="1:19" x14ac:dyDescent="0.35">
      <c r="A3" s="1" t="s">
        <v>39</v>
      </c>
      <c r="B3" s="1" t="s">
        <v>0</v>
      </c>
      <c r="C3" s="1" t="s">
        <v>1</v>
      </c>
      <c r="D3" s="2">
        <v>44485.067415393518</v>
      </c>
      <c r="E3" s="2">
        <v>44485.067417858787</v>
      </c>
      <c r="F3" s="1">
        <v>0.21</v>
      </c>
      <c r="G3" s="2">
        <v>44485.067570949082</v>
      </c>
      <c r="H3" s="2">
        <v>44485.067876157409</v>
      </c>
      <c r="I3" s="1">
        <v>26.37</v>
      </c>
      <c r="J3" s="2">
        <v>44485.067876469897</v>
      </c>
      <c r="K3" s="2">
        <v>44485.069999618063</v>
      </c>
      <c r="L3" s="1">
        <v>183.44</v>
      </c>
      <c r="M3" s="1" t="s">
        <v>2</v>
      </c>
      <c r="N3" s="2">
        <v>44485.067903252311</v>
      </c>
      <c r="O3" s="2">
        <v>44485.109516307872</v>
      </c>
      <c r="P3" s="1" t="s">
        <v>2</v>
      </c>
      <c r="Q3" s="1">
        <v>3595.37</v>
      </c>
      <c r="R3" s="1" t="s">
        <v>122</v>
      </c>
      <c r="S3" s="1">
        <v>3637.31</v>
      </c>
    </row>
    <row r="4" spans="1:19" x14ac:dyDescent="0.35">
      <c r="A4" s="1" t="s">
        <v>40</v>
      </c>
      <c r="B4" s="1" t="s">
        <v>4</v>
      </c>
      <c r="C4" s="1" t="s">
        <v>1</v>
      </c>
      <c r="D4" s="2">
        <v>44485.067472685187</v>
      </c>
      <c r="E4" s="2">
        <v>44485.067473993047</v>
      </c>
      <c r="F4" s="1">
        <v>0.11</v>
      </c>
      <c r="G4" s="2">
        <v>44485.067490590278</v>
      </c>
      <c r="H4" s="2">
        <v>44485.067604976852</v>
      </c>
      <c r="I4" s="1">
        <v>9.8800000000000008</v>
      </c>
      <c r="J4" s="2">
        <v>44485.067605173608</v>
      </c>
      <c r="K4" s="2">
        <v>44485.069000578696</v>
      </c>
      <c r="L4" s="1">
        <v>120.56</v>
      </c>
      <c r="M4" s="1" t="s">
        <v>2</v>
      </c>
      <c r="N4" s="2">
        <v>44485.067618414352</v>
      </c>
      <c r="O4" s="2">
        <v>44485.111299571763</v>
      </c>
      <c r="P4" s="1" t="s">
        <v>2</v>
      </c>
      <c r="Q4" s="1">
        <v>3774.05</v>
      </c>
      <c r="R4" s="1" t="s">
        <v>123</v>
      </c>
      <c r="S4" s="1">
        <v>3786.53</v>
      </c>
    </row>
    <row r="5" spans="1:19" x14ac:dyDescent="0.35">
      <c r="A5" s="1" t="s">
        <v>41</v>
      </c>
      <c r="B5" s="1" t="s">
        <v>18</v>
      </c>
      <c r="C5" s="1" t="s">
        <v>1</v>
      </c>
      <c r="D5" s="2">
        <v>44485.067617511573</v>
      </c>
      <c r="E5" s="2">
        <v>44485.067621562499</v>
      </c>
      <c r="F5" s="1">
        <v>0.35</v>
      </c>
      <c r="G5" s="2">
        <v>44485.067963969908</v>
      </c>
      <c r="H5" s="2">
        <v>44485.068297303238</v>
      </c>
      <c r="I5" s="1">
        <v>28.8</v>
      </c>
      <c r="J5" s="2">
        <v>44485.068297418977</v>
      </c>
      <c r="K5" s="2">
        <v>44485.06969679398</v>
      </c>
      <c r="L5" s="1">
        <v>120.91</v>
      </c>
      <c r="M5" s="1" t="s">
        <v>2</v>
      </c>
      <c r="N5" s="2">
        <v>44485.068316562501</v>
      </c>
      <c r="O5" s="2">
        <v>44485.073779386577</v>
      </c>
      <c r="P5" s="1" t="s">
        <v>2</v>
      </c>
      <c r="Q5" s="1">
        <v>471.99</v>
      </c>
      <c r="R5" s="1" t="s">
        <v>80</v>
      </c>
      <c r="S5" s="1">
        <v>532.04</v>
      </c>
    </row>
    <row r="6" spans="1:19" x14ac:dyDescent="0.35">
      <c r="A6" s="1" t="s">
        <v>42</v>
      </c>
      <c r="B6" s="1" t="s">
        <v>18</v>
      </c>
      <c r="C6" s="1" t="s">
        <v>1</v>
      </c>
      <c r="D6" s="2">
        <v>44485.067640358793</v>
      </c>
      <c r="E6" s="2">
        <v>44485.067641631947</v>
      </c>
      <c r="F6" s="1">
        <v>0.11</v>
      </c>
      <c r="G6" s="2">
        <v>44485.067747650457</v>
      </c>
      <c r="H6" s="2">
        <v>44485.067939432869</v>
      </c>
      <c r="I6" s="1">
        <v>16.57</v>
      </c>
      <c r="J6" s="2">
        <v>44485.067939548608</v>
      </c>
      <c r="K6" s="2">
        <v>44485.069338344911</v>
      </c>
      <c r="L6" s="1">
        <v>120.86</v>
      </c>
      <c r="M6" s="1" t="s">
        <v>2</v>
      </c>
      <c r="N6" s="2">
        <v>44485.067956203697</v>
      </c>
      <c r="O6" s="2">
        <v>44485.07269025463</v>
      </c>
      <c r="P6" s="1" t="s">
        <v>2</v>
      </c>
      <c r="Q6" s="1">
        <v>409.02</v>
      </c>
      <c r="R6" s="1" t="s">
        <v>79</v>
      </c>
      <c r="S6" s="1">
        <v>436.2</v>
      </c>
    </row>
    <row r="7" spans="1:19" x14ac:dyDescent="0.35">
      <c r="A7" s="1" t="s">
        <v>43</v>
      </c>
      <c r="B7" s="1" t="s">
        <v>18</v>
      </c>
      <c r="C7" s="1" t="s">
        <v>1</v>
      </c>
      <c r="D7" s="2">
        <v>44485.067673807869</v>
      </c>
      <c r="E7" s="2">
        <v>44485.067676851853</v>
      </c>
      <c r="F7" s="1">
        <v>0.26</v>
      </c>
      <c r="G7" s="2">
        <v>44485.068130173611</v>
      </c>
      <c r="H7" s="2">
        <v>44485.068343634259</v>
      </c>
      <c r="I7" s="1">
        <v>18.440000000000001</v>
      </c>
      <c r="J7" s="2">
        <v>44485.068343749997</v>
      </c>
      <c r="K7" s="2">
        <v>44485.069740706022</v>
      </c>
      <c r="L7" s="1">
        <v>120.7</v>
      </c>
      <c r="M7" s="1" t="s">
        <v>2</v>
      </c>
      <c r="N7" s="2">
        <v>44485.06835898148</v>
      </c>
      <c r="O7" s="2">
        <v>44485.072690127323</v>
      </c>
      <c r="P7" s="1" t="s">
        <v>2</v>
      </c>
      <c r="Q7" s="1">
        <v>374.21</v>
      </c>
      <c r="R7" s="1" t="s">
        <v>80</v>
      </c>
      <c r="S7" s="1">
        <v>433.15</v>
      </c>
    </row>
    <row r="8" spans="1:19" x14ac:dyDescent="0.35">
      <c r="A8" s="1" t="s">
        <v>44</v>
      </c>
      <c r="B8" s="1" t="s">
        <v>18</v>
      </c>
      <c r="C8" s="1" t="s">
        <v>1</v>
      </c>
      <c r="D8" s="2">
        <v>44485.067680902779</v>
      </c>
      <c r="E8" s="2">
        <v>44485.067681400462</v>
      </c>
      <c r="F8" s="1">
        <v>0.04</v>
      </c>
      <c r="G8" s="2">
        <v>44485.067900844908</v>
      </c>
      <c r="H8" s="2">
        <v>44485.067920636568</v>
      </c>
      <c r="I8" s="1">
        <v>1.71</v>
      </c>
      <c r="J8" s="2">
        <v>44485.067921030102</v>
      </c>
      <c r="K8" s="2">
        <v>44485.069316469897</v>
      </c>
      <c r="L8" s="1">
        <v>120.57</v>
      </c>
      <c r="M8" s="1" t="s">
        <v>2</v>
      </c>
      <c r="N8" s="2">
        <v>44485.067933773149</v>
      </c>
      <c r="O8" s="2">
        <v>44485.072106435182</v>
      </c>
      <c r="P8" s="1" t="s">
        <v>2</v>
      </c>
      <c r="Q8" s="1">
        <v>360.52</v>
      </c>
      <c r="R8" s="1" t="s">
        <v>79</v>
      </c>
      <c r="S8" s="1">
        <v>382.32</v>
      </c>
    </row>
    <row r="9" spans="1:19" x14ac:dyDescent="0.35">
      <c r="A9" s="1" t="s">
        <v>45</v>
      </c>
      <c r="B9" s="1" t="s">
        <v>18</v>
      </c>
      <c r="C9" s="1" t="s">
        <v>1</v>
      </c>
      <c r="D9" s="2">
        <v>44485.067716782411</v>
      </c>
      <c r="E9" s="2">
        <v>44485.067719988423</v>
      </c>
      <c r="F9" s="1">
        <v>0.28000000000000003</v>
      </c>
      <c r="G9" s="2">
        <v>44485.068351273148</v>
      </c>
      <c r="H9" s="2">
        <v>44485.068524618058</v>
      </c>
      <c r="I9" s="1">
        <v>14.98</v>
      </c>
      <c r="J9" s="2">
        <v>44485.068524733797</v>
      </c>
      <c r="K9" s="2">
        <v>44485.069922025461</v>
      </c>
      <c r="L9" s="1">
        <v>120.73</v>
      </c>
      <c r="M9" s="1" t="s">
        <v>2</v>
      </c>
      <c r="N9" s="2">
        <v>44485.068539745371</v>
      </c>
      <c r="O9" s="2">
        <v>44485.073779386577</v>
      </c>
      <c r="P9" s="1" t="s">
        <v>2</v>
      </c>
      <c r="Q9" s="1">
        <v>452.7</v>
      </c>
      <c r="R9" s="1" t="s">
        <v>80</v>
      </c>
      <c r="S9" s="1">
        <v>523.53</v>
      </c>
    </row>
    <row r="10" spans="1:19" x14ac:dyDescent="0.35">
      <c r="A10" s="1" t="s">
        <v>46</v>
      </c>
      <c r="B10" s="1" t="s">
        <v>18</v>
      </c>
      <c r="C10" s="1" t="s">
        <v>1</v>
      </c>
      <c r="D10" s="2">
        <v>44485.067748993053</v>
      </c>
      <c r="E10" s="2">
        <v>44485.067751770832</v>
      </c>
      <c r="F10" s="1">
        <v>0.24</v>
      </c>
      <c r="G10" s="2">
        <v>44485.068040706021</v>
      </c>
      <c r="H10" s="2">
        <v>44485.068190127313</v>
      </c>
      <c r="I10" s="1">
        <v>12.91</v>
      </c>
      <c r="J10" s="2">
        <v>44485.06819027778</v>
      </c>
      <c r="K10" s="2">
        <v>44485.069590393519</v>
      </c>
      <c r="L10" s="1">
        <v>120.97</v>
      </c>
      <c r="M10" s="1" t="s">
        <v>2</v>
      </c>
      <c r="N10" s="2">
        <v>44485.068205439813</v>
      </c>
      <c r="O10" s="2">
        <v>44485.073779178238</v>
      </c>
      <c r="P10" s="1" t="s">
        <v>2</v>
      </c>
      <c r="Q10" s="1">
        <v>481.57</v>
      </c>
      <c r="R10" s="1" t="s">
        <v>79</v>
      </c>
      <c r="S10" s="1">
        <v>520.77</v>
      </c>
    </row>
    <row r="11" spans="1:19" x14ac:dyDescent="0.35">
      <c r="A11" s="1" t="s">
        <v>47</v>
      </c>
      <c r="B11" s="1" t="s">
        <v>18</v>
      </c>
      <c r="C11" s="1" t="s">
        <v>1</v>
      </c>
      <c r="D11" s="2">
        <v>44485.067766701388</v>
      </c>
      <c r="E11" s="2">
        <v>44485.067768946763</v>
      </c>
      <c r="F11" s="1">
        <v>0.19</v>
      </c>
      <c r="G11" s="2">
        <v>44485.067946180563</v>
      </c>
      <c r="H11" s="2">
        <v>44485.068033136573</v>
      </c>
      <c r="I11" s="1">
        <v>7.51</v>
      </c>
      <c r="J11" s="2">
        <v>44485.068033252312</v>
      </c>
      <c r="K11" s="2">
        <v>44485.06942994213</v>
      </c>
      <c r="L11" s="1">
        <v>120.67</v>
      </c>
      <c r="M11" s="1" t="s">
        <v>2</v>
      </c>
      <c r="N11" s="2">
        <v>44485.068048981477</v>
      </c>
      <c r="O11" s="2">
        <v>44485.073779398153</v>
      </c>
      <c r="P11" s="1" t="s">
        <v>2</v>
      </c>
      <c r="Q11" s="1">
        <v>495.11</v>
      </c>
      <c r="R11" s="1" t="s">
        <v>79</v>
      </c>
      <c r="S11" s="1">
        <v>519.29999999999995</v>
      </c>
    </row>
    <row r="12" spans="1:19" x14ac:dyDescent="0.35">
      <c r="A12" s="1" t="s">
        <v>48</v>
      </c>
      <c r="B12" s="1" t="s">
        <v>18</v>
      </c>
      <c r="C12" s="1" t="s">
        <v>1</v>
      </c>
      <c r="D12" s="2">
        <v>44485.067799849538</v>
      </c>
      <c r="E12" s="2">
        <v>44485.067809490742</v>
      </c>
      <c r="F12" s="1">
        <v>0.83</v>
      </c>
      <c r="G12" s="2">
        <v>44485.068306678237</v>
      </c>
      <c r="H12" s="2">
        <v>44485.068435104156</v>
      </c>
      <c r="I12" s="1">
        <v>11.1</v>
      </c>
      <c r="J12" s="2">
        <v>44485.06843521991</v>
      </c>
      <c r="K12" s="2">
        <v>44485.06983364583</v>
      </c>
      <c r="L12" s="1">
        <v>120.82</v>
      </c>
      <c r="M12" s="1" t="s">
        <v>2</v>
      </c>
      <c r="N12" s="2">
        <v>44485.068451296298</v>
      </c>
      <c r="O12" s="2">
        <v>44485.072693541668</v>
      </c>
      <c r="P12" s="1" t="s">
        <v>2</v>
      </c>
      <c r="Q12" s="1">
        <v>366.53</v>
      </c>
      <c r="R12" s="1" t="s">
        <v>124</v>
      </c>
      <c r="S12" s="1">
        <v>421.98</v>
      </c>
    </row>
    <row r="13" spans="1:19" x14ac:dyDescent="0.35">
      <c r="A13" s="1" t="s">
        <v>49</v>
      </c>
      <c r="B13" s="1" t="s">
        <v>0</v>
      </c>
      <c r="C13" s="1" t="s">
        <v>1</v>
      </c>
      <c r="D13" s="2">
        <v>44485.06817716435</v>
      </c>
      <c r="E13" s="2">
        <v>44485.068177581023</v>
      </c>
      <c r="F13" s="1">
        <v>0.04</v>
      </c>
      <c r="G13" s="2">
        <v>44485.068530787037</v>
      </c>
      <c r="H13" s="2">
        <v>44485.068531365738</v>
      </c>
      <c r="I13" s="1">
        <v>0.05</v>
      </c>
      <c r="J13" s="2">
        <v>44485.068531516197</v>
      </c>
      <c r="K13" s="2">
        <v>44485.069229710651</v>
      </c>
      <c r="L13" s="1">
        <v>60.32</v>
      </c>
      <c r="M13" s="1" t="s">
        <v>2</v>
      </c>
      <c r="N13" s="2">
        <v>44485.068544988433</v>
      </c>
      <c r="O13" s="2">
        <v>44485.07148658565</v>
      </c>
      <c r="P13" s="1" t="s">
        <v>2</v>
      </c>
      <c r="Q13" s="1">
        <v>254.15</v>
      </c>
      <c r="R13" s="1" t="s">
        <v>125</v>
      </c>
      <c r="S13" s="1">
        <v>285.89999999999998</v>
      </c>
    </row>
    <row r="14" spans="1:19" x14ac:dyDescent="0.35">
      <c r="A14" s="1" t="s">
        <v>50</v>
      </c>
      <c r="B14" s="1" t="s">
        <v>4</v>
      </c>
      <c r="C14" s="1" t="s">
        <v>1</v>
      </c>
      <c r="D14" s="2">
        <v>44485.068177511574</v>
      </c>
      <c r="E14" s="2">
        <v>44485.0681778125</v>
      </c>
      <c r="F14" s="1">
        <v>0.03</v>
      </c>
      <c r="G14" s="2">
        <v>44485.068195138891</v>
      </c>
      <c r="H14" s="2">
        <v>44485.06820833333</v>
      </c>
      <c r="I14" s="1">
        <v>1.1399999999999999</v>
      </c>
      <c r="J14" s="2">
        <v>44485.068208449084</v>
      </c>
      <c r="K14" s="2">
        <v>44485.068909108799</v>
      </c>
      <c r="L14" s="1">
        <v>60.54</v>
      </c>
      <c r="M14" s="1" t="s">
        <v>2</v>
      </c>
      <c r="N14" s="2">
        <v>44485.068221226851</v>
      </c>
      <c r="O14" s="2">
        <v>44485.072131018518</v>
      </c>
      <c r="P14" s="1" t="s">
        <v>2</v>
      </c>
      <c r="Q14" s="1">
        <v>337.81</v>
      </c>
      <c r="R14" s="1" t="s">
        <v>76</v>
      </c>
      <c r="S14" s="1">
        <v>341.56</v>
      </c>
    </row>
    <row r="15" spans="1:19" x14ac:dyDescent="0.35">
      <c r="A15" s="1" t="s">
        <v>51</v>
      </c>
      <c r="B15" s="1" t="s">
        <v>3</v>
      </c>
      <c r="C15" s="1" t="s">
        <v>1</v>
      </c>
      <c r="D15" s="2">
        <v>44485.06819834491</v>
      </c>
      <c r="E15" s="2">
        <v>44485.068198958332</v>
      </c>
      <c r="F15" s="1">
        <v>0.05</v>
      </c>
      <c r="G15" s="2">
        <v>44485.068441319447</v>
      </c>
      <c r="H15" s="2">
        <v>44485.068461458337</v>
      </c>
      <c r="I15" s="1">
        <v>1.74</v>
      </c>
      <c r="J15" s="2">
        <v>44485.068461574083</v>
      </c>
      <c r="K15" s="2">
        <v>44485.069160104169</v>
      </c>
      <c r="L15" s="1">
        <v>60.35</v>
      </c>
      <c r="M15" s="1" t="s">
        <v>2</v>
      </c>
      <c r="N15" s="2">
        <v>44485.068474189808</v>
      </c>
      <c r="O15" s="2">
        <v>44485.091652037037</v>
      </c>
      <c r="P15" s="1" t="s">
        <v>2</v>
      </c>
      <c r="Q15" s="1">
        <v>2002.57</v>
      </c>
      <c r="R15" s="1" t="s">
        <v>126</v>
      </c>
      <c r="S15" s="1">
        <v>2026.35</v>
      </c>
    </row>
    <row r="16" spans="1:19" x14ac:dyDescent="0.35">
      <c r="A16" s="1"/>
      <c r="B16" s="1"/>
      <c r="C16" s="1"/>
      <c r="D16" s="2"/>
      <c r="E16" s="2"/>
      <c r="F16" s="1"/>
      <c r="G16" s="2"/>
      <c r="H16" s="2"/>
      <c r="I16" s="2"/>
      <c r="J16" s="2"/>
      <c r="K16" s="2"/>
      <c r="L16" s="2"/>
      <c r="M16" s="2"/>
      <c r="N16" s="2"/>
      <c r="O16" s="2"/>
      <c r="P16" s="1"/>
      <c r="Q16" s="1"/>
      <c r="R16" s="1"/>
      <c r="S16" s="1"/>
    </row>
    <row r="17" spans="1:19" x14ac:dyDescent="0.35">
      <c r="A17" s="1"/>
      <c r="B17" s="1"/>
      <c r="C17" s="1"/>
      <c r="D17" s="2"/>
      <c r="E17" s="2"/>
      <c r="F17" s="1"/>
      <c r="G17" s="2"/>
      <c r="H17" s="2"/>
      <c r="I17" s="2"/>
      <c r="J17" s="2"/>
      <c r="K17" s="2"/>
      <c r="L17" s="2"/>
      <c r="M17" s="2"/>
      <c r="N17" s="2"/>
      <c r="O17" s="2"/>
      <c r="P17" s="1"/>
      <c r="Q17" s="1"/>
      <c r="R17" s="1"/>
      <c r="S17" s="1"/>
    </row>
    <row r="18" spans="1:19" x14ac:dyDescent="0.35">
      <c r="A18" s="1"/>
      <c r="B18" s="1"/>
      <c r="C18" s="1"/>
      <c r="D18" s="2"/>
      <c r="E18" s="2"/>
      <c r="F18" s="1"/>
      <c r="G18" s="2"/>
      <c r="H18" s="2"/>
      <c r="I18" s="2"/>
      <c r="J18" s="2"/>
      <c r="K18" s="2"/>
      <c r="L18" s="2"/>
      <c r="M18" s="2"/>
      <c r="N18" s="2"/>
      <c r="O18" s="2"/>
      <c r="P18" s="1"/>
      <c r="Q18" s="1"/>
      <c r="R18" s="1"/>
      <c r="S18" s="1"/>
    </row>
    <row r="19" spans="1:19" x14ac:dyDescent="0.35">
      <c r="A19" s="1"/>
      <c r="B19" s="1"/>
      <c r="C19" s="1"/>
      <c r="D19" s="2"/>
      <c r="E19" s="2"/>
      <c r="F19" s="1"/>
      <c r="G19" s="2"/>
      <c r="H19" s="2"/>
      <c r="I19" s="2"/>
      <c r="J19" s="2"/>
      <c r="K19" s="2"/>
      <c r="L19" s="2"/>
      <c r="M19" s="2"/>
      <c r="N19" s="2"/>
      <c r="O19" s="2"/>
      <c r="P19" s="1"/>
      <c r="Q19" s="1"/>
      <c r="R19" s="1"/>
      <c r="S19" s="1"/>
    </row>
    <row r="20" spans="1:19" x14ac:dyDescent="0.35">
      <c r="F20" s="15"/>
    </row>
    <row r="21" spans="1:19" x14ac:dyDescent="0.35">
      <c r="F21" s="15"/>
    </row>
    <row r="22" spans="1:19" x14ac:dyDescent="0.35">
      <c r="F22" s="15"/>
    </row>
    <row r="23" spans="1:19" x14ac:dyDescent="0.35">
      <c r="F23" s="15"/>
    </row>
    <row r="24" spans="1:19" x14ac:dyDescent="0.35">
      <c r="F24" s="15"/>
    </row>
    <row r="25" spans="1:19" x14ac:dyDescent="0.35">
      <c r="F25" s="15"/>
    </row>
    <row r="26" spans="1:19" x14ac:dyDescent="0.35">
      <c r="F26" s="15"/>
    </row>
    <row r="27" spans="1:19" x14ac:dyDescent="0.35">
      <c r="F27" s="15"/>
    </row>
    <row r="28" spans="1:19" x14ac:dyDescent="0.35">
      <c r="F28" s="15"/>
    </row>
    <row r="29" spans="1:19" x14ac:dyDescent="0.35">
      <c r="F29" s="15"/>
    </row>
    <row r="30" spans="1:19" x14ac:dyDescent="0.35">
      <c r="F30" s="15"/>
    </row>
    <row r="31" spans="1:19" x14ac:dyDescent="0.35">
      <c r="F31" s="15"/>
    </row>
    <row r="32" spans="1:19" x14ac:dyDescent="0.35">
      <c r="F32" s="15"/>
    </row>
    <row r="33" spans="6:6" x14ac:dyDescent="0.35">
      <c r="F33" s="15"/>
    </row>
    <row r="34" spans="6:6" x14ac:dyDescent="0.35">
      <c r="F34" s="15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2BAFB-D534-4A22-9031-6B2D4F0169D9}">
  <sheetPr codeName="Sheet3"/>
  <dimension ref="A1:N5"/>
  <sheetViews>
    <sheetView zoomScaleNormal="100" workbookViewId="0">
      <pane ySplit="1" topLeftCell="A2" activePane="bottomLeft" state="frozenSplit"/>
      <selection pane="bottomLeft" activeCell="E2" sqref="E2:E5"/>
    </sheetView>
  </sheetViews>
  <sheetFormatPr defaultRowHeight="14.5" x14ac:dyDescent="0.35"/>
  <cols>
    <col min="1" max="1" width="18.08984375" style="1" bestFit="1" customWidth="1"/>
    <col min="2" max="2" width="11.81640625" style="1" bestFit="1" customWidth="1"/>
    <col min="3" max="3" width="26" style="1" bestFit="1" customWidth="1"/>
    <col min="4" max="4" width="18.36328125" style="1" bestFit="1" customWidth="1"/>
    <col min="5" max="5" width="19.6328125" style="1" bestFit="1" customWidth="1"/>
    <col min="6" max="6" width="17.81640625" style="1" bestFit="1" customWidth="1"/>
    <col min="7" max="7" width="34.7265625" style="2" bestFit="1" customWidth="1"/>
    <col min="8" max="8" width="35.1796875" style="2" bestFit="1" customWidth="1"/>
    <col min="9" max="9" width="24.54296875" style="2" bestFit="1" customWidth="1"/>
    <col min="10" max="10" width="24.90625" style="2" bestFit="1" customWidth="1"/>
    <col min="11" max="11" width="20.08984375" style="2" bestFit="1" customWidth="1"/>
    <col min="12" max="12" width="20.54296875" style="2" bestFit="1" customWidth="1"/>
    <col min="13" max="13" width="22.1796875" style="2" bestFit="1" customWidth="1"/>
    <col min="14" max="14" width="22.6328125" style="2" bestFit="1" customWidth="1"/>
  </cols>
  <sheetData>
    <row r="1" spans="1:14" ht="43" customHeight="1" x14ac:dyDescent="0.35">
      <c r="A1" s="30" t="s">
        <v>6</v>
      </c>
      <c r="B1" s="30" t="s">
        <v>14</v>
      </c>
      <c r="C1" s="30" t="s">
        <v>17</v>
      </c>
      <c r="D1" s="30" t="s">
        <v>19</v>
      </c>
      <c r="E1" s="30" t="s">
        <v>21</v>
      </c>
      <c r="F1" s="30" t="s">
        <v>20</v>
      </c>
      <c r="G1" s="32" t="s">
        <v>8</v>
      </c>
      <c r="H1" s="32" t="s">
        <v>9</v>
      </c>
      <c r="I1" s="32" t="s">
        <v>10</v>
      </c>
      <c r="J1" s="32" t="s">
        <v>11</v>
      </c>
      <c r="K1" s="32" t="s">
        <v>12</v>
      </c>
      <c r="L1" s="32" t="s">
        <v>13</v>
      </c>
      <c r="M1" s="32" t="s">
        <v>15</v>
      </c>
      <c r="N1" s="32" t="s">
        <v>16</v>
      </c>
    </row>
    <row r="2" spans="1:14" x14ac:dyDescent="0.35">
      <c r="A2" s="1" t="s">
        <v>18</v>
      </c>
      <c r="B2" s="1" t="s">
        <v>2</v>
      </c>
      <c r="C2" s="1" t="s">
        <v>2</v>
      </c>
      <c r="D2" s="1">
        <v>471.16</v>
      </c>
      <c r="E2" s="1">
        <v>780</v>
      </c>
      <c r="F2" s="1">
        <v>8</v>
      </c>
      <c r="G2" s="2">
        <v>44485.067617511573</v>
      </c>
      <c r="H2" s="2">
        <v>44485.067809490742</v>
      </c>
      <c r="I2" s="2">
        <v>44485.067747650457</v>
      </c>
      <c r="J2" s="2">
        <v>44485.068524618058</v>
      </c>
      <c r="K2" s="2">
        <v>44485.067921030102</v>
      </c>
      <c r="L2" s="2">
        <v>44485.069922025461</v>
      </c>
      <c r="M2" s="2">
        <v>44485.067933773149</v>
      </c>
      <c r="N2" s="2">
        <v>44485.073779398153</v>
      </c>
    </row>
    <row r="3" spans="1:14" x14ac:dyDescent="0.35">
      <c r="A3" s="1" t="s">
        <v>3</v>
      </c>
      <c r="B3" s="1" t="s">
        <v>2</v>
      </c>
      <c r="C3" s="1" t="s">
        <v>2</v>
      </c>
      <c r="D3" s="1">
        <v>2026.35</v>
      </c>
      <c r="E3" s="1">
        <v>39</v>
      </c>
      <c r="F3" s="1">
        <v>1</v>
      </c>
      <c r="G3" s="2">
        <v>44485.06819834491</v>
      </c>
      <c r="H3" s="2">
        <v>44485.068198958332</v>
      </c>
      <c r="I3" s="2">
        <v>44485.068441319447</v>
      </c>
      <c r="J3" s="2">
        <v>44485.068461458337</v>
      </c>
      <c r="K3" s="2">
        <v>44485.068461574083</v>
      </c>
      <c r="L3" s="2">
        <v>44485.069160104169</v>
      </c>
      <c r="M3" s="2">
        <v>44485.068474189808</v>
      </c>
      <c r="N3" s="2">
        <v>44485.091652037037</v>
      </c>
    </row>
    <row r="4" spans="1:14" x14ac:dyDescent="0.35">
      <c r="A4" s="1" t="s">
        <v>4</v>
      </c>
      <c r="B4" s="1" t="s">
        <v>2</v>
      </c>
      <c r="C4" s="1" t="s">
        <v>2</v>
      </c>
      <c r="D4" s="1">
        <v>2064.04</v>
      </c>
      <c r="E4" s="1">
        <v>127</v>
      </c>
      <c r="F4" s="1">
        <v>2</v>
      </c>
      <c r="G4" s="2">
        <v>44485.067472685187</v>
      </c>
      <c r="H4" s="2">
        <v>44485.0681778125</v>
      </c>
      <c r="I4" s="2">
        <v>44485.067490590278</v>
      </c>
      <c r="J4" s="2">
        <v>44485.06820833333</v>
      </c>
      <c r="K4" s="2">
        <v>44485.067605173608</v>
      </c>
      <c r="L4" s="2">
        <v>44485.069000578696</v>
      </c>
      <c r="M4" s="2">
        <v>44485.067618414352</v>
      </c>
      <c r="N4" s="2">
        <v>44485.111299571763</v>
      </c>
    </row>
    <row r="5" spans="1:14" x14ac:dyDescent="0.35">
      <c r="A5" s="1" t="s">
        <v>0</v>
      </c>
      <c r="B5" s="1" t="s">
        <v>2</v>
      </c>
      <c r="C5" s="1" t="s">
        <v>2</v>
      </c>
      <c r="D5" s="1">
        <v>2521.12</v>
      </c>
      <c r="E5" s="1">
        <v>163</v>
      </c>
      <c r="F5" s="1">
        <v>3</v>
      </c>
      <c r="G5" s="2">
        <v>44485.06738202546</v>
      </c>
      <c r="H5" s="2">
        <v>44485.068177581023</v>
      </c>
      <c r="I5" s="2">
        <v>44485.067570949082</v>
      </c>
      <c r="J5" s="2">
        <v>44485.068531365738</v>
      </c>
      <c r="K5" s="2">
        <v>44485.067876469897</v>
      </c>
      <c r="L5" s="2">
        <v>44485.070908796297</v>
      </c>
      <c r="M5" s="2">
        <v>44485.067903252311</v>
      </c>
      <c r="N5" s="2">
        <v>44485.109517384262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BD07-F314-4A51-BD86-B0AC05D566DA}">
  <sheetPr codeName="Sheet2"/>
  <dimension ref="A1:BK17"/>
  <sheetViews>
    <sheetView topLeftCell="AD1" workbookViewId="0">
      <pane ySplit="1" topLeftCell="A2" activePane="bottomLeft" state="frozenSplit"/>
      <selection pane="bottomLeft" activeCell="AE19" sqref="AE19"/>
    </sheetView>
  </sheetViews>
  <sheetFormatPr defaultRowHeight="14.5" x14ac:dyDescent="0.35"/>
  <cols>
    <col min="1" max="1" width="73.26953125" bestFit="1" customWidth="1"/>
    <col min="2" max="2" width="22.453125" style="29" bestFit="1" customWidth="1"/>
    <col min="3" max="3" width="21.08984375" bestFit="1" customWidth="1"/>
    <col min="4" max="4" width="22.453125" bestFit="1" customWidth="1"/>
    <col min="5" max="5" width="21.81640625" bestFit="1" customWidth="1"/>
    <col min="6" max="6" width="23.54296875" bestFit="1" customWidth="1"/>
    <col min="7" max="7" width="25.90625" bestFit="1" customWidth="1"/>
    <col min="8" max="8" width="27.54296875" bestFit="1" customWidth="1"/>
    <col min="9" max="9" width="27.6328125" bestFit="1" customWidth="1"/>
    <col min="10" max="10" width="29.1796875" bestFit="1" customWidth="1"/>
    <col min="11" max="11" width="26" bestFit="1" customWidth="1"/>
    <col min="12" max="12" width="28.90625" bestFit="1" customWidth="1"/>
    <col min="13" max="13" width="28.08984375" bestFit="1" customWidth="1"/>
    <col min="14" max="14" width="30" bestFit="1" customWidth="1"/>
    <col min="15" max="15" width="32.1796875" bestFit="1" customWidth="1"/>
    <col min="16" max="16" width="33.90625" bestFit="1" customWidth="1"/>
    <col min="17" max="17" width="34.08984375" bestFit="1" customWidth="1"/>
    <col min="18" max="18" width="35.453125" bestFit="1" customWidth="1"/>
    <col min="19" max="19" width="39" bestFit="1" customWidth="1"/>
    <col min="20" max="20" width="41.81640625" bestFit="1" customWidth="1"/>
    <col min="21" max="21" width="41.1796875" bestFit="1" customWidth="1"/>
    <col min="22" max="22" width="42.90625" bestFit="1" customWidth="1"/>
    <col min="23" max="23" width="45.26953125" bestFit="1" customWidth="1"/>
    <col min="24" max="24" width="46.90625" bestFit="1" customWidth="1"/>
    <col min="25" max="25" width="47" bestFit="1" customWidth="1"/>
    <col min="26" max="26" width="48.36328125" bestFit="1" customWidth="1"/>
    <col min="27" max="27" width="39.36328125" bestFit="1" customWidth="1"/>
    <col min="28" max="28" width="42.26953125" bestFit="1" customWidth="1"/>
    <col min="29" max="29" width="41.54296875" bestFit="1" customWidth="1"/>
    <col min="30" max="30" width="43.36328125" bestFit="1" customWidth="1"/>
    <col min="31" max="31" width="45.6328125" bestFit="1" customWidth="1"/>
    <col min="32" max="32" width="47.26953125" bestFit="1" customWidth="1"/>
    <col min="33" max="33" width="47.453125" bestFit="1" customWidth="1"/>
    <col min="34" max="34" width="48.90625" bestFit="1" customWidth="1"/>
  </cols>
  <sheetData>
    <row r="1" spans="1:63" ht="41" customHeight="1" x14ac:dyDescent="0.35">
      <c r="A1" s="30"/>
      <c r="B1" s="31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 t="s">
        <v>5</v>
      </c>
      <c r="AE1" s="31" t="s">
        <v>63</v>
      </c>
      <c r="AF1" s="30" t="s">
        <v>6</v>
      </c>
      <c r="AG1" s="30" t="s">
        <v>63</v>
      </c>
      <c r="AH1" s="30" t="s">
        <v>64</v>
      </c>
      <c r="AI1" s="30" t="s">
        <v>65</v>
      </c>
      <c r="AJ1" s="30" t="s">
        <v>66</v>
      </c>
      <c r="AK1" s="30" t="s">
        <v>67</v>
      </c>
      <c r="AL1" s="30" t="s">
        <v>68</v>
      </c>
      <c r="AM1" s="30" t="s">
        <v>69</v>
      </c>
      <c r="AN1" s="30" t="s">
        <v>85</v>
      </c>
      <c r="AO1" s="30" t="s">
        <v>86</v>
      </c>
      <c r="AP1" s="30" t="s">
        <v>87</v>
      </c>
      <c r="AQ1" s="30" t="s">
        <v>88</v>
      </c>
      <c r="AR1" s="30" t="s">
        <v>89</v>
      </c>
      <c r="AS1" s="30" t="s">
        <v>90</v>
      </c>
      <c r="AT1" s="30" t="s">
        <v>91</v>
      </c>
      <c r="AU1" s="30" t="s">
        <v>92</v>
      </c>
      <c r="AV1" s="30" t="s">
        <v>94</v>
      </c>
      <c r="AW1" s="30" t="s">
        <v>95</v>
      </c>
      <c r="AX1" s="30" t="s">
        <v>96</v>
      </c>
      <c r="AY1" s="30" t="s">
        <v>97</v>
      </c>
      <c r="AZ1" s="30" t="s">
        <v>93</v>
      </c>
      <c r="BA1" s="30" t="s">
        <v>98</v>
      </c>
      <c r="BB1" s="30" t="s">
        <v>99</v>
      </c>
      <c r="BC1" s="30" t="s">
        <v>100</v>
      </c>
      <c r="BD1" s="30" t="s">
        <v>101</v>
      </c>
      <c r="BE1" s="30" t="s">
        <v>102</v>
      </c>
      <c r="BF1" s="30" t="s">
        <v>103</v>
      </c>
      <c r="BG1" s="30" t="s">
        <v>104</v>
      </c>
      <c r="BH1" s="30" t="s">
        <v>105</v>
      </c>
      <c r="BI1" s="30" t="s">
        <v>106</v>
      </c>
      <c r="BJ1" s="30" t="s">
        <v>107</v>
      </c>
      <c r="BK1" s="30" t="s">
        <v>108</v>
      </c>
    </row>
    <row r="2" spans="1:63" x14ac:dyDescent="0.35">
      <c r="A2" s="27"/>
      <c r="B2" s="28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 t="s">
        <v>41</v>
      </c>
      <c r="AE2" s="28" t="s">
        <v>127</v>
      </c>
      <c r="AF2" s="27" t="s">
        <v>18</v>
      </c>
      <c r="AG2" s="27" t="s">
        <v>127</v>
      </c>
      <c r="AH2" s="27" t="s">
        <v>70</v>
      </c>
      <c r="AI2" s="27" t="s">
        <v>128</v>
      </c>
      <c r="AJ2" s="27" t="s">
        <v>71</v>
      </c>
      <c r="AK2" s="27" t="s">
        <v>129</v>
      </c>
      <c r="AL2" s="27">
        <v>99</v>
      </c>
      <c r="AM2" s="27" t="s">
        <v>130</v>
      </c>
      <c r="AN2" s="27" t="s">
        <v>131</v>
      </c>
      <c r="AO2" s="27" t="s">
        <v>132</v>
      </c>
      <c r="AP2" s="27" t="s">
        <v>75</v>
      </c>
      <c r="AQ2" s="27" t="s">
        <v>133</v>
      </c>
      <c r="AR2" s="27" t="s">
        <v>76</v>
      </c>
      <c r="AS2" s="27" t="s">
        <v>134</v>
      </c>
      <c r="AT2" s="27">
        <v>7</v>
      </c>
      <c r="AU2" s="27" t="s">
        <v>135</v>
      </c>
      <c r="AV2" s="27" t="s">
        <v>136</v>
      </c>
      <c r="AW2" s="27" t="s">
        <v>137</v>
      </c>
      <c r="AX2" s="27" t="s">
        <v>70</v>
      </c>
      <c r="AY2" s="27" t="s">
        <v>138</v>
      </c>
      <c r="AZ2" s="27" t="s">
        <v>139</v>
      </c>
      <c r="BA2" s="27" t="s">
        <v>140</v>
      </c>
      <c r="BB2" s="27" t="s">
        <v>80</v>
      </c>
      <c r="BC2" s="27" t="s">
        <v>141</v>
      </c>
      <c r="BD2" s="27" t="s">
        <v>142</v>
      </c>
      <c r="BE2" s="27" t="s">
        <v>143</v>
      </c>
      <c r="BF2" s="27" t="s">
        <v>75</v>
      </c>
      <c r="BG2" s="27" t="s">
        <v>144</v>
      </c>
      <c r="BH2" s="27" t="s">
        <v>144</v>
      </c>
      <c r="BI2" s="27" t="s">
        <v>145</v>
      </c>
      <c r="BJ2" s="27" t="s">
        <v>80</v>
      </c>
      <c r="BK2" s="27" t="s">
        <v>74</v>
      </c>
    </row>
    <row r="3" spans="1:63" x14ac:dyDescent="0.35">
      <c r="A3" s="27"/>
      <c r="B3" s="28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 t="s">
        <v>42</v>
      </c>
      <c r="AE3" s="28" t="s">
        <v>146</v>
      </c>
      <c r="AF3" s="27" t="s">
        <v>18</v>
      </c>
      <c r="AG3" s="27" t="s">
        <v>146</v>
      </c>
      <c r="AH3" s="27" t="s">
        <v>70</v>
      </c>
      <c r="AI3" s="27" t="s">
        <v>147</v>
      </c>
      <c r="AJ3" s="27" t="s">
        <v>71</v>
      </c>
      <c r="AK3" s="27" t="s">
        <v>148</v>
      </c>
      <c r="AL3" s="27">
        <v>100</v>
      </c>
      <c r="AM3" s="27" t="s">
        <v>149</v>
      </c>
      <c r="AN3" s="27" t="s">
        <v>150</v>
      </c>
      <c r="AO3" s="27" t="s">
        <v>151</v>
      </c>
      <c r="AP3" s="27" t="s">
        <v>75</v>
      </c>
      <c r="AQ3" s="27" t="s">
        <v>152</v>
      </c>
      <c r="AR3" s="27" t="s">
        <v>76</v>
      </c>
      <c r="AS3" s="27" t="s">
        <v>153</v>
      </c>
      <c r="AT3" s="27" t="s">
        <v>79</v>
      </c>
      <c r="AU3" s="27" t="s">
        <v>154</v>
      </c>
      <c r="AV3" s="27" t="s">
        <v>155</v>
      </c>
      <c r="AW3" s="27" t="s">
        <v>156</v>
      </c>
      <c r="AX3" s="27" t="s">
        <v>75</v>
      </c>
      <c r="AY3" s="27" t="s">
        <v>157</v>
      </c>
      <c r="AZ3" s="27" t="s">
        <v>158</v>
      </c>
      <c r="BA3" s="27" t="s">
        <v>159</v>
      </c>
      <c r="BB3" s="27" t="s">
        <v>79</v>
      </c>
      <c r="BC3" s="27" t="s">
        <v>160</v>
      </c>
      <c r="BD3" s="27" t="s">
        <v>161</v>
      </c>
      <c r="BE3" s="27" t="s">
        <v>162</v>
      </c>
      <c r="BF3" s="27" t="s">
        <v>72</v>
      </c>
      <c r="BG3" s="27" t="s">
        <v>163</v>
      </c>
      <c r="BH3" s="27" t="s">
        <v>163</v>
      </c>
      <c r="BI3" s="27" t="s">
        <v>164</v>
      </c>
      <c r="BJ3" s="27" t="s">
        <v>79</v>
      </c>
      <c r="BK3" s="27" t="s">
        <v>74</v>
      </c>
    </row>
    <row r="4" spans="1:63" x14ac:dyDescent="0.35">
      <c r="A4" s="27"/>
      <c r="B4" s="28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 t="s">
        <v>43</v>
      </c>
      <c r="AE4" s="28" t="s">
        <v>165</v>
      </c>
      <c r="AF4" s="27" t="s">
        <v>18</v>
      </c>
      <c r="AG4" s="27" t="s">
        <v>165</v>
      </c>
      <c r="AH4" s="27" t="s">
        <v>70</v>
      </c>
      <c r="AI4" s="27" t="s">
        <v>166</v>
      </c>
      <c r="AJ4" s="27" t="s">
        <v>71</v>
      </c>
      <c r="AK4" s="27" t="s">
        <v>167</v>
      </c>
      <c r="AL4" s="27">
        <v>99</v>
      </c>
      <c r="AM4" s="27" t="s">
        <v>168</v>
      </c>
      <c r="AN4" s="27" t="s">
        <v>169</v>
      </c>
      <c r="AO4" s="27" t="s">
        <v>170</v>
      </c>
      <c r="AP4" s="27" t="s">
        <v>72</v>
      </c>
      <c r="AQ4" s="27" t="s">
        <v>171</v>
      </c>
      <c r="AR4" s="27" t="s">
        <v>76</v>
      </c>
      <c r="AS4" s="27" t="s">
        <v>172</v>
      </c>
      <c r="AT4" s="27" t="s">
        <v>80</v>
      </c>
      <c r="AU4" s="27" t="s">
        <v>173</v>
      </c>
      <c r="AV4" s="27" t="s">
        <v>174</v>
      </c>
      <c r="AW4" s="27" t="s">
        <v>175</v>
      </c>
      <c r="AX4" s="27" t="s">
        <v>70</v>
      </c>
      <c r="AY4" s="27" t="s">
        <v>176</v>
      </c>
      <c r="AZ4" s="27" t="s">
        <v>177</v>
      </c>
      <c r="BA4" s="27" t="s">
        <v>178</v>
      </c>
      <c r="BB4" s="27" t="s">
        <v>80</v>
      </c>
      <c r="BC4" s="27" t="s">
        <v>179</v>
      </c>
      <c r="BD4" s="27" t="s">
        <v>180</v>
      </c>
      <c r="BE4" s="27" t="s">
        <v>181</v>
      </c>
      <c r="BF4" s="27" t="s">
        <v>72</v>
      </c>
      <c r="BG4" s="27" t="s">
        <v>182</v>
      </c>
      <c r="BH4" s="27" t="s">
        <v>182</v>
      </c>
      <c r="BI4" s="27" t="s">
        <v>183</v>
      </c>
      <c r="BJ4" s="27" t="s">
        <v>80</v>
      </c>
      <c r="BK4" s="27" t="s">
        <v>74</v>
      </c>
    </row>
    <row r="5" spans="1:63" x14ac:dyDescent="0.35">
      <c r="A5" s="27"/>
      <c r="B5" s="28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 t="s">
        <v>44</v>
      </c>
      <c r="AE5" s="28" t="s">
        <v>184</v>
      </c>
      <c r="AF5" s="27" t="s">
        <v>18</v>
      </c>
      <c r="AG5" s="27" t="s">
        <v>184</v>
      </c>
      <c r="AH5" s="27" t="s">
        <v>70</v>
      </c>
      <c r="AI5" s="27" t="s">
        <v>185</v>
      </c>
      <c r="AJ5" s="27" t="s">
        <v>71</v>
      </c>
      <c r="AK5" s="27" t="s">
        <v>186</v>
      </c>
      <c r="AL5" s="27">
        <v>100</v>
      </c>
      <c r="AM5" s="27" t="s">
        <v>187</v>
      </c>
      <c r="AN5" s="27" t="s">
        <v>188</v>
      </c>
      <c r="AO5" s="27" t="s">
        <v>189</v>
      </c>
      <c r="AP5" s="27" t="s">
        <v>75</v>
      </c>
      <c r="AQ5" s="27" t="s">
        <v>190</v>
      </c>
      <c r="AR5" s="27" t="s">
        <v>76</v>
      </c>
      <c r="AS5" s="27" t="s">
        <v>191</v>
      </c>
      <c r="AT5" s="27" t="s">
        <v>79</v>
      </c>
      <c r="AU5" s="27" t="s">
        <v>192</v>
      </c>
      <c r="AV5" s="27" t="s">
        <v>193</v>
      </c>
      <c r="AW5" s="27" t="s">
        <v>194</v>
      </c>
      <c r="AX5" s="27" t="s">
        <v>75</v>
      </c>
      <c r="AY5" s="27" t="s">
        <v>195</v>
      </c>
      <c r="AZ5" s="27" t="s">
        <v>196</v>
      </c>
      <c r="BA5" s="27" t="s">
        <v>197</v>
      </c>
      <c r="BB5" s="27" t="s">
        <v>79</v>
      </c>
      <c r="BC5" s="27" t="s">
        <v>198</v>
      </c>
      <c r="BD5" s="27" t="s">
        <v>199</v>
      </c>
      <c r="BE5" s="27" t="s">
        <v>200</v>
      </c>
      <c r="BF5" s="27" t="s">
        <v>72</v>
      </c>
      <c r="BG5" s="27" t="s">
        <v>201</v>
      </c>
      <c r="BH5" s="27" t="s">
        <v>201</v>
      </c>
      <c r="BI5" s="27" t="s">
        <v>202</v>
      </c>
      <c r="BJ5" s="27" t="s">
        <v>79</v>
      </c>
      <c r="BK5" s="27" t="s">
        <v>74</v>
      </c>
    </row>
    <row r="6" spans="1:63" x14ac:dyDescent="0.35">
      <c r="A6" s="27"/>
      <c r="B6" s="28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 t="s">
        <v>45</v>
      </c>
      <c r="AE6" s="28" t="s">
        <v>203</v>
      </c>
      <c r="AF6" s="27" t="s">
        <v>18</v>
      </c>
      <c r="AG6" s="27" t="s">
        <v>203</v>
      </c>
      <c r="AH6" s="27" t="s">
        <v>70</v>
      </c>
      <c r="AI6" s="27" t="s">
        <v>204</v>
      </c>
      <c r="AJ6" s="27" t="s">
        <v>71</v>
      </c>
      <c r="AK6" s="27" t="s">
        <v>205</v>
      </c>
      <c r="AL6" s="27">
        <v>99</v>
      </c>
      <c r="AM6" s="27" t="s">
        <v>206</v>
      </c>
      <c r="AN6" s="27" t="s">
        <v>207</v>
      </c>
      <c r="AO6" s="27" t="s">
        <v>208</v>
      </c>
      <c r="AP6" s="27" t="s">
        <v>75</v>
      </c>
      <c r="AQ6" s="27" t="s">
        <v>209</v>
      </c>
      <c r="AR6" s="27" t="s">
        <v>76</v>
      </c>
      <c r="AS6" s="27" t="s">
        <v>210</v>
      </c>
      <c r="AT6" s="27" t="s">
        <v>80</v>
      </c>
      <c r="AU6" s="27" t="s">
        <v>211</v>
      </c>
      <c r="AV6" s="27" t="s">
        <v>212</v>
      </c>
      <c r="AW6" s="27" t="s">
        <v>213</v>
      </c>
      <c r="AX6" s="27" t="s">
        <v>70</v>
      </c>
      <c r="AY6" s="27" t="s">
        <v>214</v>
      </c>
      <c r="AZ6" s="27" t="s">
        <v>215</v>
      </c>
      <c r="BA6" s="27" t="s">
        <v>216</v>
      </c>
      <c r="BB6" s="27" t="s">
        <v>80</v>
      </c>
      <c r="BC6" s="27" t="s">
        <v>217</v>
      </c>
      <c r="BD6" s="27" t="s">
        <v>218</v>
      </c>
      <c r="BE6" s="27" t="s">
        <v>219</v>
      </c>
      <c r="BF6" s="27" t="s">
        <v>72</v>
      </c>
      <c r="BG6" s="27" t="s">
        <v>220</v>
      </c>
      <c r="BH6" s="27" t="s">
        <v>220</v>
      </c>
      <c r="BI6" s="27" t="s">
        <v>221</v>
      </c>
      <c r="BJ6" s="27" t="s">
        <v>80</v>
      </c>
      <c r="BK6" s="27" t="s">
        <v>74</v>
      </c>
    </row>
    <row r="7" spans="1:63" x14ac:dyDescent="0.35">
      <c r="A7" s="27"/>
      <c r="B7" s="28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 t="s">
        <v>46</v>
      </c>
      <c r="AE7" s="28" t="s">
        <v>222</v>
      </c>
      <c r="AF7" s="27" t="s">
        <v>18</v>
      </c>
      <c r="AG7" s="27" t="s">
        <v>222</v>
      </c>
      <c r="AH7" s="27" t="s">
        <v>70</v>
      </c>
      <c r="AI7" s="27" t="s">
        <v>223</v>
      </c>
      <c r="AJ7" s="27" t="s">
        <v>71</v>
      </c>
      <c r="AK7" s="27" t="s">
        <v>224</v>
      </c>
      <c r="AL7" s="27">
        <v>100</v>
      </c>
      <c r="AM7" s="27" t="s">
        <v>225</v>
      </c>
      <c r="AN7" s="27" t="s">
        <v>226</v>
      </c>
      <c r="AO7" s="27" t="s">
        <v>227</v>
      </c>
      <c r="AP7" s="27" t="s">
        <v>70</v>
      </c>
      <c r="AQ7" s="27" t="s">
        <v>228</v>
      </c>
      <c r="AR7" s="27" t="s">
        <v>76</v>
      </c>
      <c r="AS7" s="27" t="s">
        <v>229</v>
      </c>
      <c r="AT7" s="27" t="s">
        <v>79</v>
      </c>
      <c r="AU7" s="27" t="s">
        <v>230</v>
      </c>
      <c r="AV7" s="27" t="s">
        <v>231</v>
      </c>
      <c r="AW7" s="27" t="s">
        <v>232</v>
      </c>
      <c r="AX7" s="27" t="s">
        <v>70</v>
      </c>
      <c r="AY7" s="27" t="s">
        <v>233</v>
      </c>
      <c r="AZ7" s="27" t="s">
        <v>234</v>
      </c>
      <c r="BA7" s="27" t="s">
        <v>235</v>
      </c>
      <c r="BB7" s="27" t="s">
        <v>79</v>
      </c>
      <c r="BC7" s="27" t="s">
        <v>236</v>
      </c>
      <c r="BD7" s="27" t="s">
        <v>237</v>
      </c>
      <c r="BE7" s="27" t="s">
        <v>238</v>
      </c>
      <c r="BF7" s="27" t="s">
        <v>72</v>
      </c>
      <c r="BG7" s="27" t="s">
        <v>239</v>
      </c>
      <c r="BH7" s="27" t="s">
        <v>239</v>
      </c>
      <c r="BI7" s="27" t="s">
        <v>240</v>
      </c>
      <c r="BJ7" s="27" t="s">
        <v>79</v>
      </c>
      <c r="BK7" s="27" t="s">
        <v>74</v>
      </c>
    </row>
    <row r="8" spans="1:63" x14ac:dyDescent="0.35">
      <c r="A8" s="27"/>
      <c r="B8" s="28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 t="s">
        <v>47</v>
      </c>
      <c r="AE8" s="28" t="s">
        <v>241</v>
      </c>
      <c r="AF8" s="27" t="s">
        <v>18</v>
      </c>
      <c r="AG8" s="27" t="s">
        <v>241</v>
      </c>
      <c r="AH8" s="27" t="s">
        <v>70</v>
      </c>
      <c r="AI8" s="27" t="s">
        <v>242</v>
      </c>
      <c r="AJ8" s="27" t="s">
        <v>71</v>
      </c>
      <c r="AK8" s="27" t="s">
        <v>243</v>
      </c>
      <c r="AL8" s="27">
        <v>100</v>
      </c>
      <c r="AM8" s="27" t="s">
        <v>244</v>
      </c>
      <c r="AN8" s="27" t="s">
        <v>245</v>
      </c>
      <c r="AO8" s="27" t="s">
        <v>246</v>
      </c>
      <c r="AP8" s="27" t="s">
        <v>75</v>
      </c>
      <c r="AQ8" s="27" t="s">
        <v>247</v>
      </c>
      <c r="AR8" s="27" t="s">
        <v>76</v>
      </c>
      <c r="AS8" s="27" t="s">
        <v>248</v>
      </c>
      <c r="AT8" s="27" t="s">
        <v>79</v>
      </c>
      <c r="AU8" s="27" t="s">
        <v>249</v>
      </c>
      <c r="AV8" s="27" t="s">
        <v>250</v>
      </c>
      <c r="AW8" s="27" t="s">
        <v>251</v>
      </c>
      <c r="AX8" s="27" t="s">
        <v>75</v>
      </c>
      <c r="AY8" s="27" t="s">
        <v>252</v>
      </c>
      <c r="AZ8" s="27" t="s">
        <v>253</v>
      </c>
      <c r="BA8" s="27" t="s">
        <v>254</v>
      </c>
      <c r="BB8" s="27" t="s">
        <v>79</v>
      </c>
      <c r="BC8" s="27" t="s">
        <v>255</v>
      </c>
      <c r="BD8" s="27" t="s">
        <v>256</v>
      </c>
      <c r="BE8" s="27" t="s">
        <v>257</v>
      </c>
      <c r="BF8" s="27" t="s">
        <v>72</v>
      </c>
      <c r="BG8" s="27" t="s">
        <v>258</v>
      </c>
      <c r="BH8" s="27" t="s">
        <v>258</v>
      </c>
      <c r="BI8" s="27" t="s">
        <v>259</v>
      </c>
      <c r="BJ8" s="27" t="s">
        <v>79</v>
      </c>
      <c r="BK8" s="27" t="s">
        <v>74</v>
      </c>
    </row>
    <row r="9" spans="1:63" x14ac:dyDescent="0.35">
      <c r="A9" s="27"/>
      <c r="B9" s="28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 t="s">
        <v>48</v>
      </c>
      <c r="AE9" s="28" t="s">
        <v>260</v>
      </c>
      <c r="AF9" s="27" t="s">
        <v>18</v>
      </c>
      <c r="AG9" s="27" t="s">
        <v>260</v>
      </c>
      <c r="AH9" s="27" t="s">
        <v>70</v>
      </c>
      <c r="AI9" s="27" t="s">
        <v>261</v>
      </c>
      <c r="AJ9" s="27" t="s">
        <v>71</v>
      </c>
      <c r="AK9" s="27" t="s">
        <v>262</v>
      </c>
      <c r="AL9" s="27">
        <v>83</v>
      </c>
      <c r="AM9" s="27" t="s">
        <v>263</v>
      </c>
      <c r="AN9" s="27" t="s">
        <v>264</v>
      </c>
      <c r="AO9" s="27" t="s">
        <v>265</v>
      </c>
      <c r="AP9" s="27" t="s">
        <v>75</v>
      </c>
      <c r="AQ9" s="27" t="s">
        <v>266</v>
      </c>
      <c r="AR9" s="27" t="s">
        <v>76</v>
      </c>
      <c r="AS9" s="27" t="s">
        <v>267</v>
      </c>
      <c r="AT9" s="27" t="s">
        <v>124</v>
      </c>
      <c r="AU9" s="27" t="s">
        <v>268</v>
      </c>
      <c r="AV9" s="27" t="s">
        <v>269</v>
      </c>
      <c r="AW9" s="27" t="s">
        <v>270</v>
      </c>
      <c r="AX9" s="27" t="s">
        <v>75</v>
      </c>
      <c r="AY9" s="27" t="s">
        <v>271</v>
      </c>
      <c r="AZ9" s="27" t="s">
        <v>272</v>
      </c>
      <c r="BA9" s="27" t="s">
        <v>273</v>
      </c>
      <c r="BB9" s="27" t="s">
        <v>124</v>
      </c>
      <c r="BC9" s="27" t="s">
        <v>274</v>
      </c>
      <c r="BD9" s="27" t="s">
        <v>275</v>
      </c>
      <c r="BE9" s="27" t="s">
        <v>276</v>
      </c>
      <c r="BF9" s="27" t="s">
        <v>72</v>
      </c>
      <c r="BG9" s="27" t="s">
        <v>272</v>
      </c>
      <c r="BH9" s="27" t="s">
        <v>272</v>
      </c>
      <c r="BI9" s="27" t="s">
        <v>277</v>
      </c>
      <c r="BJ9" s="27" t="s">
        <v>124</v>
      </c>
      <c r="BK9" s="27" t="s">
        <v>74</v>
      </c>
    </row>
    <row r="10" spans="1:63" x14ac:dyDescent="0.35">
      <c r="A10" s="27"/>
      <c r="B10" s="28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 t="s">
        <v>51</v>
      </c>
      <c r="AE10" s="28" t="s">
        <v>278</v>
      </c>
      <c r="AF10" s="27" t="s">
        <v>3</v>
      </c>
      <c r="AG10" s="27" t="s">
        <v>278</v>
      </c>
      <c r="AH10" s="27" t="s">
        <v>72</v>
      </c>
      <c r="AI10" s="27" t="s">
        <v>279</v>
      </c>
      <c r="AJ10" s="27" t="s">
        <v>71</v>
      </c>
      <c r="AK10" s="27" t="s">
        <v>280</v>
      </c>
      <c r="AL10" s="27">
        <v>39</v>
      </c>
      <c r="AM10" s="27" t="s">
        <v>281</v>
      </c>
      <c r="AN10" s="27" t="s">
        <v>282</v>
      </c>
      <c r="AO10" s="27" t="s">
        <v>283</v>
      </c>
      <c r="AP10" s="27" t="s">
        <v>72</v>
      </c>
      <c r="AQ10" s="27" t="s">
        <v>284</v>
      </c>
      <c r="AR10" s="27" t="s">
        <v>71</v>
      </c>
      <c r="AS10" s="27" t="s">
        <v>285</v>
      </c>
      <c r="AT10" s="27" t="s">
        <v>126</v>
      </c>
      <c r="AU10" s="27" t="s">
        <v>286</v>
      </c>
      <c r="AV10" s="27" t="s">
        <v>287</v>
      </c>
      <c r="AW10" s="27" t="s">
        <v>288</v>
      </c>
      <c r="AX10" s="27" t="s">
        <v>72</v>
      </c>
      <c r="AY10" s="27" t="s">
        <v>289</v>
      </c>
      <c r="AZ10" s="27" t="s">
        <v>290</v>
      </c>
      <c r="BA10" s="27" t="s">
        <v>291</v>
      </c>
      <c r="BB10" s="27" t="s">
        <v>126</v>
      </c>
      <c r="BC10" s="27" t="s">
        <v>292</v>
      </c>
      <c r="BD10" s="27" t="s">
        <v>293</v>
      </c>
      <c r="BE10" s="27" t="s">
        <v>294</v>
      </c>
      <c r="BF10" s="27" t="s">
        <v>72</v>
      </c>
      <c r="BG10" s="27" t="s">
        <v>82</v>
      </c>
      <c r="BH10" s="27" t="s">
        <v>82</v>
      </c>
      <c r="BI10" s="27" t="s">
        <v>295</v>
      </c>
      <c r="BJ10" s="27" t="s">
        <v>126</v>
      </c>
      <c r="BK10" s="27" t="s">
        <v>74</v>
      </c>
    </row>
    <row r="11" spans="1:63" x14ac:dyDescent="0.35">
      <c r="A11" s="27"/>
      <c r="B11" s="28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</row>
    <row r="12" spans="1:63" x14ac:dyDescent="0.35">
      <c r="A12" s="27"/>
      <c r="B12" s="28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</row>
    <row r="13" spans="1:63" x14ac:dyDescent="0.35">
      <c r="A13" s="27"/>
      <c r="B13" s="28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</row>
    <row r="14" spans="1:63" x14ac:dyDescent="0.35">
      <c r="A14" s="27"/>
      <c r="B14" s="28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</row>
    <row r="15" spans="1:63" x14ac:dyDescent="0.35">
      <c r="A15" s="27"/>
      <c r="B15" s="28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</row>
    <row r="16" spans="1:63" x14ac:dyDescent="0.35">
      <c r="A16" s="27"/>
      <c r="B16" s="28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</row>
    <row r="17" spans="1:34" x14ac:dyDescent="0.35">
      <c r="A17" s="27"/>
      <c r="B17" s="28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CCDFD-0855-49D7-AAC5-02417D569C3A}">
  <sheetPr codeName="Sheet4"/>
  <dimension ref="A1:AH6"/>
  <sheetViews>
    <sheetView workbookViewId="0">
      <pane ySplit="1" topLeftCell="A2" activePane="bottomLeft" state="frozenSplit"/>
      <selection pane="bottomLeft" activeCell="C21" sqref="C21"/>
    </sheetView>
  </sheetViews>
  <sheetFormatPr defaultRowHeight="14.5" x14ac:dyDescent="0.35"/>
  <cols>
    <col min="1" max="1" width="68.6328125" style="1" bestFit="1" customWidth="1"/>
    <col min="2" max="2" width="18" style="1" bestFit="1" customWidth="1"/>
    <col min="3" max="3" width="20" style="1" bestFit="1" customWidth="1"/>
    <col min="4" max="4" width="22.90625" style="1" bestFit="1" customWidth="1"/>
    <col min="5" max="5" width="24.08984375" style="1" bestFit="1" customWidth="1"/>
    <col min="6" max="6" width="22.36328125" style="1" bestFit="1" customWidth="1"/>
    <col min="7" max="7" width="39.26953125" style="2" bestFit="1" customWidth="1"/>
    <col min="8" max="8" width="39.6328125" style="2" bestFit="1" customWidth="1"/>
    <col min="9" max="9" width="29" style="2" bestFit="1" customWidth="1"/>
    <col min="10" max="10" width="29.453125" style="2" bestFit="1" customWidth="1"/>
    <col min="11" max="11" width="36.08984375" style="2" bestFit="1" customWidth="1"/>
    <col min="12" max="12" width="39" style="2" bestFit="1" customWidth="1"/>
    <col min="13" max="13" width="38.26953125" style="2" bestFit="1" customWidth="1"/>
    <col min="14" max="14" width="40.08984375" style="2" bestFit="1" customWidth="1"/>
    <col min="15" max="15" width="42.36328125" style="1" bestFit="1" customWidth="1"/>
    <col min="16" max="16" width="44" style="1" bestFit="1" customWidth="1"/>
    <col min="17" max="17" width="44.1796875" style="1" bestFit="1" customWidth="1"/>
    <col min="18" max="18" width="45.6328125" style="1" bestFit="1" customWidth="1"/>
    <col min="19" max="19" width="39" style="1" bestFit="1" customWidth="1"/>
    <col min="20" max="20" width="41.81640625" style="1" bestFit="1" customWidth="1"/>
    <col min="21" max="21" width="41.1796875" style="1" bestFit="1" customWidth="1"/>
    <col min="22" max="22" width="42.90625" style="1" bestFit="1" customWidth="1"/>
    <col min="23" max="23" width="45.26953125" style="1" bestFit="1" customWidth="1"/>
    <col min="24" max="24" width="46.90625" style="1" bestFit="1" customWidth="1"/>
    <col min="25" max="25" width="47" style="1" bestFit="1" customWidth="1"/>
    <col min="26" max="26" width="48.36328125" style="1" bestFit="1" customWidth="1"/>
    <col min="27" max="27" width="39.36328125" style="1" bestFit="1" customWidth="1"/>
    <col min="28" max="28" width="42.26953125" style="1" bestFit="1" customWidth="1"/>
    <col min="29" max="29" width="41.54296875" style="1" bestFit="1" customWidth="1"/>
    <col min="30" max="30" width="43.36328125" style="1" bestFit="1" customWidth="1"/>
    <col min="31" max="31" width="45.6328125" style="1" bestFit="1" customWidth="1"/>
    <col min="32" max="32" width="47.7265625" style="1" bestFit="1" customWidth="1"/>
    <col min="33" max="33" width="47.453125" style="1" bestFit="1" customWidth="1"/>
    <col min="34" max="34" width="48.90625" style="1" bestFit="1" customWidth="1"/>
    <col min="35" max="16384" width="8.7265625" style="1"/>
  </cols>
  <sheetData>
    <row r="1" spans="1:34" ht="44.5" customHeight="1" x14ac:dyDescent="0.35">
      <c r="A1" s="30" t="s">
        <v>5</v>
      </c>
      <c r="B1" s="30" t="s">
        <v>63</v>
      </c>
      <c r="C1" s="30" t="s">
        <v>109</v>
      </c>
      <c r="D1" s="30" t="s">
        <v>63</v>
      </c>
      <c r="E1" s="30" t="s">
        <v>64</v>
      </c>
      <c r="F1" s="30" t="s">
        <v>65</v>
      </c>
      <c r="G1" s="30" t="s">
        <v>66</v>
      </c>
      <c r="H1" s="30" t="s">
        <v>67</v>
      </c>
      <c r="I1" s="30" t="s">
        <v>68</v>
      </c>
      <c r="J1" s="30" t="s">
        <v>69</v>
      </c>
      <c r="K1" s="30" t="s">
        <v>110</v>
      </c>
      <c r="L1" s="30" t="s">
        <v>111</v>
      </c>
      <c r="M1" s="30" t="s">
        <v>112</v>
      </c>
      <c r="N1" s="30" t="s">
        <v>113</v>
      </c>
      <c r="O1" s="30" t="s">
        <v>114</v>
      </c>
      <c r="P1" s="30" t="s">
        <v>115</v>
      </c>
      <c r="Q1" s="30" t="s">
        <v>116</v>
      </c>
      <c r="R1" s="30" t="s">
        <v>117</v>
      </c>
      <c r="S1" s="30" t="s">
        <v>94</v>
      </c>
      <c r="T1" s="30" t="s">
        <v>95</v>
      </c>
      <c r="U1" s="30" t="s">
        <v>96</v>
      </c>
      <c r="V1" s="30" t="s">
        <v>97</v>
      </c>
      <c r="W1" s="30" t="s">
        <v>93</v>
      </c>
      <c r="X1" s="30" t="s">
        <v>98</v>
      </c>
      <c r="Y1" s="30" t="s">
        <v>99</v>
      </c>
      <c r="Z1" s="30" t="s">
        <v>100</v>
      </c>
      <c r="AA1" s="30" t="s">
        <v>101</v>
      </c>
      <c r="AB1" s="30" t="s">
        <v>102</v>
      </c>
      <c r="AC1" s="30" t="s">
        <v>103</v>
      </c>
      <c r="AD1" s="30" t="s">
        <v>104</v>
      </c>
      <c r="AE1" s="30" t="s">
        <v>105</v>
      </c>
      <c r="AF1" s="30" t="s">
        <v>118</v>
      </c>
      <c r="AG1" s="30" t="s">
        <v>107</v>
      </c>
      <c r="AH1" s="30" t="s">
        <v>108</v>
      </c>
    </row>
    <row r="2" spans="1:34" x14ac:dyDescent="0.35">
      <c r="A2" s="1" t="s">
        <v>38</v>
      </c>
      <c r="B2" s="1" t="s">
        <v>296</v>
      </c>
      <c r="C2" s="1" t="s">
        <v>0</v>
      </c>
      <c r="D2" s="1" t="s">
        <v>296</v>
      </c>
      <c r="E2" s="1" t="s">
        <v>70</v>
      </c>
      <c r="F2" s="1" t="s">
        <v>297</v>
      </c>
      <c r="G2" s="1" t="s">
        <v>71</v>
      </c>
      <c r="H2" s="1" t="s">
        <v>298</v>
      </c>
      <c r="I2" s="1">
        <v>98</v>
      </c>
      <c r="J2" s="1" t="s">
        <v>299</v>
      </c>
      <c r="K2" s="1" t="s">
        <v>300</v>
      </c>
      <c r="L2" s="1" t="s">
        <v>301</v>
      </c>
      <c r="M2" s="1" t="s">
        <v>75</v>
      </c>
      <c r="N2" s="1" t="s">
        <v>302</v>
      </c>
      <c r="O2" s="1" t="s">
        <v>77</v>
      </c>
      <c r="P2" s="1" t="s">
        <v>303</v>
      </c>
      <c r="Q2" s="1" t="s">
        <v>81</v>
      </c>
      <c r="R2" s="1" t="s">
        <v>304</v>
      </c>
      <c r="S2" s="1" t="s">
        <v>305</v>
      </c>
      <c r="T2" s="1" t="s">
        <v>306</v>
      </c>
      <c r="U2" s="1" t="s">
        <v>70</v>
      </c>
      <c r="V2" s="1" t="s">
        <v>307</v>
      </c>
      <c r="W2" s="1" t="s">
        <v>308</v>
      </c>
      <c r="X2" s="1" t="s">
        <v>309</v>
      </c>
      <c r="Y2" s="1" t="s">
        <v>81</v>
      </c>
      <c r="Z2" s="1" t="s">
        <v>310</v>
      </c>
      <c r="AA2" s="1" t="s">
        <v>311</v>
      </c>
      <c r="AB2" s="1" t="s">
        <v>312</v>
      </c>
      <c r="AC2" s="1" t="s">
        <v>75</v>
      </c>
      <c r="AD2" s="1" t="s">
        <v>313</v>
      </c>
      <c r="AE2" s="1" t="s">
        <v>313</v>
      </c>
      <c r="AF2" s="1" t="s">
        <v>314</v>
      </c>
      <c r="AG2" s="1" t="s">
        <v>81</v>
      </c>
      <c r="AH2" s="1" t="s">
        <v>74</v>
      </c>
    </row>
    <row r="3" spans="1:34" x14ac:dyDescent="0.35">
      <c r="A3" s="1" t="s">
        <v>39</v>
      </c>
      <c r="B3" s="1" t="s">
        <v>315</v>
      </c>
      <c r="C3" s="1" t="s">
        <v>0</v>
      </c>
      <c r="D3" s="1" t="s">
        <v>315</v>
      </c>
      <c r="E3" s="1" t="s">
        <v>70</v>
      </c>
      <c r="F3" s="1" t="s">
        <v>316</v>
      </c>
      <c r="G3" s="1" t="s">
        <v>71</v>
      </c>
      <c r="H3" s="1" t="s">
        <v>317</v>
      </c>
      <c r="I3" s="1">
        <v>61</v>
      </c>
      <c r="J3" s="1" t="s">
        <v>318</v>
      </c>
      <c r="K3" s="1" t="s">
        <v>319</v>
      </c>
      <c r="L3" s="1" t="s">
        <v>320</v>
      </c>
      <c r="M3" s="1" t="s">
        <v>75</v>
      </c>
      <c r="N3" s="1" t="s">
        <v>321</v>
      </c>
      <c r="O3" s="1" t="s">
        <v>125</v>
      </c>
      <c r="P3" s="1" t="s">
        <v>322</v>
      </c>
      <c r="Q3" s="1" t="s">
        <v>122</v>
      </c>
      <c r="R3" s="1" t="s">
        <v>323</v>
      </c>
      <c r="S3" s="1" t="s">
        <v>324</v>
      </c>
      <c r="T3" s="1" t="s">
        <v>325</v>
      </c>
      <c r="U3" s="1" t="s">
        <v>70</v>
      </c>
      <c r="V3" s="1" t="s">
        <v>326</v>
      </c>
      <c r="W3" s="1" t="s">
        <v>327</v>
      </c>
      <c r="X3" s="1" t="s">
        <v>328</v>
      </c>
      <c r="Y3" s="1" t="s">
        <v>122</v>
      </c>
      <c r="Z3" s="1" t="s">
        <v>329</v>
      </c>
      <c r="AA3" s="1" t="s">
        <v>330</v>
      </c>
      <c r="AB3" s="1" t="s">
        <v>331</v>
      </c>
      <c r="AC3" s="1" t="s">
        <v>75</v>
      </c>
      <c r="AD3" s="1" t="s">
        <v>332</v>
      </c>
      <c r="AE3" s="1" t="s">
        <v>332</v>
      </c>
      <c r="AF3" s="1" t="s">
        <v>333</v>
      </c>
      <c r="AG3" s="1" t="s">
        <v>122</v>
      </c>
      <c r="AH3" s="1" t="s">
        <v>74</v>
      </c>
    </row>
    <row r="4" spans="1:34" x14ac:dyDescent="0.35">
      <c r="A4" s="1" t="s">
        <v>40</v>
      </c>
      <c r="B4" s="1" t="s">
        <v>334</v>
      </c>
      <c r="C4" s="1" t="s">
        <v>4</v>
      </c>
      <c r="D4" s="1" t="s">
        <v>334</v>
      </c>
      <c r="E4" s="1" t="s">
        <v>72</v>
      </c>
      <c r="F4" s="1" t="s">
        <v>171</v>
      </c>
      <c r="G4" s="1" t="s">
        <v>71</v>
      </c>
      <c r="H4" s="1" t="s">
        <v>335</v>
      </c>
      <c r="I4" s="1">
        <v>125</v>
      </c>
      <c r="J4" s="1" t="s">
        <v>336</v>
      </c>
      <c r="K4" s="1" t="s">
        <v>337</v>
      </c>
      <c r="L4" s="1" t="s">
        <v>338</v>
      </c>
      <c r="M4" s="1" t="s">
        <v>72</v>
      </c>
      <c r="N4" s="1" t="s">
        <v>339</v>
      </c>
      <c r="O4" s="1" t="s">
        <v>73</v>
      </c>
      <c r="P4" s="1" t="s">
        <v>340</v>
      </c>
      <c r="Q4" s="1" t="s">
        <v>123</v>
      </c>
      <c r="R4" s="1" t="s">
        <v>341</v>
      </c>
      <c r="S4" s="1" t="s">
        <v>342</v>
      </c>
      <c r="T4" s="1" t="s">
        <v>343</v>
      </c>
      <c r="U4" s="1" t="s">
        <v>72</v>
      </c>
      <c r="V4" s="1" t="s">
        <v>344</v>
      </c>
      <c r="W4" s="1" t="s">
        <v>345</v>
      </c>
      <c r="X4" s="1" t="s">
        <v>346</v>
      </c>
      <c r="Y4" s="1" t="s">
        <v>123</v>
      </c>
      <c r="Z4" s="1" t="s">
        <v>347</v>
      </c>
      <c r="AA4" s="1" t="s">
        <v>348</v>
      </c>
      <c r="AB4" s="1" t="s">
        <v>349</v>
      </c>
      <c r="AC4" s="1" t="s">
        <v>72</v>
      </c>
      <c r="AD4" s="1" t="s">
        <v>350</v>
      </c>
      <c r="AE4" s="1" t="s">
        <v>350</v>
      </c>
      <c r="AF4" s="1" t="s">
        <v>351</v>
      </c>
      <c r="AG4" s="1" t="s">
        <v>123</v>
      </c>
      <c r="AH4" s="1" t="s">
        <v>74</v>
      </c>
    </row>
    <row r="5" spans="1:34" x14ac:dyDescent="0.35">
      <c r="A5" s="1" t="s">
        <v>49</v>
      </c>
      <c r="B5" s="1" t="s">
        <v>352</v>
      </c>
      <c r="C5" s="1" t="s">
        <v>0</v>
      </c>
      <c r="D5" s="1" t="s">
        <v>352</v>
      </c>
      <c r="E5" s="1" t="s">
        <v>75</v>
      </c>
      <c r="F5" s="1" t="s">
        <v>353</v>
      </c>
      <c r="G5" s="1" t="s">
        <v>71</v>
      </c>
      <c r="H5" s="1" t="s">
        <v>354</v>
      </c>
      <c r="I5" s="1">
        <v>4</v>
      </c>
      <c r="J5" s="1" t="s">
        <v>355</v>
      </c>
      <c r="K5" s="1" t="s">
        <v>356</v>
      </c>
      <c r="L5" s="1" t="s">
        <v>357</v>
      </c>
      <c r="M5" s="1" t="s">
        <v>72</v>
      </c>
      <c r="N5" s="1" t="s">
        <v>358</v>
      </c>
      <c r="O5" s="1" t="s">
        <v>71</v>
      </c>
      <c r="P5" s="1" t="s">
        <v>359</v>
      </c>
      <c r="Q5" s="1" t="s">
        <v>125</v>
      </c>
      <c r="R5" s="1" t="s">
        <v>358</v>
      </c>
      <c r="S5" s="1" t="s">
        <v>360</v>
      </c>
      <c r="T5" s="1" t="s">
        <v>361</v>
      </c>
      <c r="U5" s="1" t="s">
        <v>75</v>
      </c>
      <c r="V5" s="1" t="s">
        <v>362</v>
      </c>
      <c r="W5" s="1" t="s">
        <v>83</v>
      </c>
      <c r="X5" s="1" t="s">
        <v>363</v>
      </c>
      <c r="Y5" s="1" t="s">
        <v>125</v>
      </c>
      <c r="Z5" s="1" t="s">
        <v>364</v>
      </c>
      <c r="AA5" s="1" t="s">
        <v>365</v>
      </c>
      <c r="AB5" s="1" t="s">
        <v>366</v>
      </c>
      <c r="AC5" s="1" t="s">
        <v>72</v>
      </c>
      <c r="AD5" s="1" t="s">
        <v>367</v>
      </c>
      <c r="AE5" s="1" t="s">
        <v>367</v>
      </c>
      <c r="AF5" s="1" t="s">
        <v>368</v>
      </c>
      <c r="AG5" s="1" t="s">
        <v>125</v>
      </c>
      <c r="AH5" s="1" t="s">
        <v>74</v>
      </c>
    </row>
    <row r="6" spans="1:34" x14ac:dyDescent="0.35">
      <c r="A6" s="1" t="s">
        <v>50</v>
      </c>
      <c r="B6" s="1" t="s">
        <v>369</v>
      </c>
      <c r="C6" s="1" t="s">
        <v>4</v>
      </c>
      <c r="D6" s="1" t="s">
        <v>369</v>
      </c>
      <c r="E6" s="1" t="s">
        <v>72</v>
      </c>
      <c r="F6" s="1" t="s">
        <v>370</v>
      </c>
      <c r="G6" s="1" t="s">
        <v>71</v>
      </c>
      <c r="H6" s="1" t="s">
        <v>371</v>
      </c>
      <c r="I6" s="1">
        <v>2</v>
      </c>
      <c r="J6" s="1" t="s">
        <v>372</v>
      </c>
      <c r="K6" s="1" t="s">
        <v>373</v>
      </c>
      <c r="L6" s="1" t="s">
        <v>374</v>
      </c>
      <c r="M6" s="1" t="s">
        <v>72</v>
      </c>
      <c r="N6" s="1" t="s">
        <v>375</v>
      </c>
      <c r="O6" s="1" t="s">
        <v>71</v>
      </c>
      <c r="P6" s="1" t="s">
        <v>376</v>
      </c>
      <c r="Q6" s="1" t="s">
        <v>76</v>
      </c>
      <c r="R6" s="1" t="s">
        <v>377</v>
      </c>
      <c r="S6" s="1" t="s">
        <v>378</v>
      </c>
      <c r="T6" s="1" t="s">
        <v>379</v>
      </c>
      <c r="U6" s="1" t="s">
        <v>72</v>
      </c>
      <c r="V6" s="1" t="s">
        <v>84</v>
      </c>
      <c r="W6" s="1" t="s">
        <v>125</v>
      </c>
      <c r="X6" s="1" t="s">
        <v>380</v>
      </c>
      <c r="Y6" s="1" t="s">
        <v>76</v>
      </c>
      <c r="Z6" s="1" t="s">
        <v>78</v>
      </c>
      <c r="AA6" s="1" t="s">
        <v>381</v>
      </c>
      <c r="AB6" s="1" t="s">
        <v>382</v>
      </c>
      <c r="AC6" s="1" t="s">
        <v>72</v>
      </c>
      <c r="AD6" s="1" t="s">
        <v>383</v>
      </c>
      <c r="AE6" s="1" t="s">
        <v>383</v>
      </c>
      <c r="AF6" s="1" t="s">
        <v>384</v>
      </c>
      <c r="AG6" s="1" t="s">
        <v>76</v>
      </c>
      <c r="AH6" s="1" t="s">
        <v>74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7627BE-97CF-4982-BFF1-83F113E0E3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Report</vt:lpstr>
      <vt:lpstr>DetailReport</vt:lpstr>
      <vt:lpstr>SummaryReport</vt:lpstr>
      <vt:lpstr>OrderMetrics</vt:lpstr>
      <vt:lpstr>TransportationMetrics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Aldair Leon</dc:creator>
  <cp:lastModifiedBy>Aldair Leon</cp:lastModifiedBy>
  <dcterms:created xsi:type="dcterms:W3CDTF">2015-06-05T18:17:20Z</dcterms:created>
  <dcterms:modified xsi:type="dcterms:W3CDTF">2021-11-09T15:47:15Z</dcterms:modified>
</cp:coreProperties>
</file>